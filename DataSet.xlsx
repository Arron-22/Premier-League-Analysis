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ron/Desktop/"/>
    </mc:Choice>
  </mc:AlternateContent>
  <xr:revisionPtr revIDLastSave="0" documentId="13_ncr:1_{92241644-185F-7340-BB08-0BEE9F75729C}" xr6:coauthVersionLast="47" xr6:coauthVersionMax="47" xr10:uidLastSave="{00000000-0000-0000-0000-000000000000}"/>
  <bookViews>
    <workbookView xWindow="0" yWindow="760" windowWidth="30240" windowHeight="17640" xr2:uid="{9ABCF488-84D3-FB4E-B4D4-7BD38DB8165D}"/>
  </bookViews>
  <sheets>
    <sheet name="Sheet1" sheetId="1" r:id="rId1"/>
  </sheets>
  <definedNames>
    <definedName name="_xlnm._FilterDatabase" localSheetId="0" hidden="1">Sheet1!$A$1:$V$21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H34" i="1"/>
  <c r="I34" i="1" s="1"/>
  <c r="W56" i="1"/>
  <c r="W57" i="1"/>
  <c r="W58" i="1"/>
  <c r="W59" i="1"/>
  <c r="W60" i="1"/>
  <c r="W61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N28" i="1"/>
  <c r="J61" i="1"/>
  <c r="H24" i="1"/>
  <c r="I24" i="1" s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H54" i="1"/>
  <c r="K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25" i="1"/>
  <c r="I25" i="1" s="1"/>
  <c r="H26" i="1"/>
  <c r="I26" i="1" s="1"/>
  <c r="H27" i="1"/>
  <c r="I27" i="1" s="1"/>
  <c r="H28" i="1"/>
  <c r="K28" i="1" s="1"/>
  <c r="H29" i="1"/>
  <c r="I29" i="1" s="1"/>
  <c r="H30" i="1"/>
  <c r="I30" i="1" s="1"/>
  <c r="H31" i="1"/>
  <c r="I31" i="1" s="1"/>
  <c r="H32" i="1"/>
  <c r="I32" i="1" s="1"/>
  <c r="H33" i="1"/>
  <c r="I33" i="1" s="1"/>
  <c r="H35" i="1"/>
  <c r="I35" i="1" s="1"/>
  <c r="H36" i="1"/>
  <c r="K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K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22" i="1"/>
  <c r="I22" i="1" s="1"/>
  <c r="H23" i="1"/>
  <c r="I2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N2" i="1"/>
  <c r="J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K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K19" i="1" s="1"/>
  <c r="H20" i="1"/>
  <c r="K20" i="1" s="1"/>
  <c r="H21" i="1"/>
  <c r="K21" i="1" s="1"/>
  <c r="H2" i="1"/>
  <c r="I2" i="1" s="1"/>
  <c r="K55" i="1" l="1"/>
  <c r="K48" i="1"/>
  <c r="K40" i="1"/>
  <c r="K31" i="1"/>
  <c r="K29" i="1"/>
  <c r="I54" i="1"/>
  <c r="K61" i="1"/>
  <c r="K60" i="1"/>
  <c r="K7" i="1"/>
  <c r="K24" i="1"/>
  <c r="K56" i="1"/>
  <c r="K6" i="1"/>
  <c r="K46" i="1"/>
  <c r="K23" i="1"/>
  <c r="K22" i="1"/>
  <c r="I36" i="1"/>
  <c r="K58" i="1"/>
  <c r="K39" i="1"/>
  <c r="K8" i="1"/>
  <c r="K47" i="1"/>
  <c r="I21" i="1"/>
  <c r="K38" i="1"/>
  <c r="I20" i="1"/>
  <c r="I19" i="1"/>
  <c r="K30" i="1"/>
  <c r="K5" i="1"/>
  <c r="K16" i="1"/>
  <c r="K45" i="1"/>
  <c r="K37" i="1"/>
  <c r="K13" i="1"/>
  <c r="I44" i="1"/>
  <c r="I12" i="1"/>
  <c r="K50" i="1"/>
  <c r="K42" i="1"/>
  <c r="K34" i="1"/>
  <c r="K26" i="1"/>
  <c r="K18" i="1"/>
  <c r="K10" i="1"/>
  <c r="K57" i="1"/>
  <c r="K49" i="1"/>
  <c r="K41" i="1"/>
  <c r="K33" i="1"/>
  <c r="K25" i="1"/>
  <c r="K17" i="1"/>
  <c r="K9" i="1"/>
  <c r="K32" i="1"/>
  <c r="I28" i="1"/>
  <c r="K15" i="1"/>
  <c r="K2" i="1"/>
  <c r="K14" i="1"/>
  <c r="K53" i="1"/>
  <c r="K52" i="1"/>
  <c r="K4" i="1"/>
  <c r="K59" i="1"/>
  <c r="K51" i="1"/>
  <c r="K43" i="1"/>
  <c r="K35" i="1"/>
  <c r="K27" i="1"/>
  <c r="K11" i="1"/>
  <c r="K3" i="1"/>
</calcChain>
</file>

<file path=xl/sharedStrings.xml><?xml version="1.0" encoding="utf-8"?>
<sst xmlns="http://schemas.openxmlformats.org/spreadsheetml/2006/main" count="146" uniqueCount="54">
  <si>
    <t>Club</t>
  </si>
  <si>
    <t xml:space="preserve">Season </t>
  </si>
  <si>
    <t>Revenue(£M)</t>
  </si>
  <si>
    <t>Wages(£M)</t>
  </si>
  <si>
    <t>League Position</t>
  </si>
  <si>
    <t>Points</t>
  </si>
  <si>
    <t>Wins</t>
  </si>
  <si>
    <t>Draws</t>
  </si>
  <si>
    <t>Losses</t>
  </si>
  <si>
    <t>Goals For</t>
  </si>
  <si>
    <t>Goals Against</t>
  </si>
  <si>
    <t>Manchester City</t>
  </si>
  <si>
    <t>Chelsea</t>
  </si>
  <si>
    <t xml:space="preserve">Arsenal </t>
  </si>
  <si>
    <t>Liverpool</t>
  </si>
  <si>
    <t>Machester United</t>
  </si>
  <si>
    <t>Tottenham Hotspur</t>
  </si>
  <si>
    <t>Brighton &amp; Hove Albion</t>
  </si>
  <si>
    <t>Newcastle United</t>
  </si>
  <si>
    <t>Aston Villa</t>
  </si>
  <si>
    <t>Nottingham Forest</t>
  </si>
  <si>
    <t>Crystal Palace</t>
  </si>
  <si>
    <t>West Ham</t>
  </si>
  <si>
    <t>Everton</t>
  </si>
  <si>
    <t>Fulham</t>
  </si>
  <si>
    <t xml:space="preserve">Wolverhampton </t>
  </si>
  <si>
    <t>Brentford</t>
  </si>
  <si>
    <t>Bournemouth</t>
  </si>
  <si>
    <t xml:space="preserve">Burnley </t>
  </si>
  <si>
    <t>Luton Town</t>
  </si>
  <si>
    <t>2023/24</t>
  </si>
  <si>
    <t xml:space="preserve">Sheffield United </t>
  </si>
  <si>
    <t>Expenditure(£M)</t>
  </si>
  <si>
    <t>Income(£M)</t>
  </si>
  <si>
    <t>Revenue per Point(£M)</t>
  </si>
  <si>
    <t>Wage Efficincey(£M)</t>
  </si>
  <si>
    <t>Net Spend per Point(£M)</t>
  </si>
  <si>
    <t>Wages to Revenue ratio(%)</t>
  </si>
  <si>
    <t>Market Value(£M)</t>
  </si>
  <si>
    <t>2022/23</t>
  </si>
  <si>
    <t>2021/22</t>
  </si>
  <si>
    <t>Southhampton</t>
  </si>
  <si>
    <t>Leeds United</t>
  </si>
  <si>
    <t>Leicester City</t>
  </si>
  <si>
    <t>Norwich City</t>
  </si>
  <si>
    <t>Watford</t>
  </si>
  <si>
    <t>Net Spend Transfer(£M)</t>
  </si>
  <si>
    <t>Goals Differnece</t>
  </si>
  <si>
    <t>Points per 10m Net Spend</t>
  </si>
  <si>
    <t>Goals per Game</t>
  </si>
  <si>
    <t>Win Rate(%)</t>
  </si>
  <si>
    <t>Goals Conceded per Game</t>
  </si>
  <si>
    <t>Estimated Matchday Revenue(£M)</t>
  </si>
  <si>
    <t>Avg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</si>
</sst>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577B-07C1-FF4C-8133-9B1446403B3F}">
  <dimension ref="A1:Z61"/>
  <sheetViews>
    <sheetView tabSelected="1" topLeftCell="I1" workbookViewId="0">
      <pane ySplit="1" topLeftCell="A2" activePane="bottomLeft" state="frozen"/>
      <selection pane="bottomLeft" activeCell="Y2" sqref="Y2"/>
    </sheetView>
  </sheetViews>
  <sheetFormatPr baseColWidth="10" defaultRowHeight="16" x14ac:dyDescent="0.2"/>
  <cols>
    <col min="1" max="1" width="19.5" bestFit="1" customWidth="1"/>
    <col min="2" max="2" width="7.83203125" bestFit="1" customWidth="1"/>
    <col min="3" max="4" width="14.83203125" style="3" bestFit="1" customWidth="1"/>
    <col min="5" max="5" width="23.5" style="3" bestFit="1" customWidth="1"/>
    <col min="6" max="6" width="14.83203125" style="3" bestFit="1" customWidth="1"/>
    <col min="7" max="7" width="14.83203125" style="1" bestFit="1" customWidth="1"/>
    <col min="8" max="8" width="20.83203125" style="3" bestFit="1" customWidth="1"/>
    <col min="9" max="9" width="21.5" style="3" bestFit="1" customWidth="1"/>
    <col min="10" max="10" width="19" style="3" bestFit="1" customWidth="1"/>
    <col min="11" max="11" width="22.5" style="3" bestFit="1" customWidth="1"/>
    <col min="12" max="12" width="14" style="3" bestFit="1" customWidth="1"/>
    <col min="13" max="13" width="29.83203125" style="3" bestFit="1" customWidth="1"/>
    <col min="14" max="14" width="18.33203125" style="3" bestFit="1" customWidth="1"/>
    <col min="15" max="15" width="15.6640625" style="3" bestFit="1" customWidth="1"/>
    <col min="16" max="16" width="13.6640625" style="3" bestFit="1" customWidth="1"/>
    <col min="17" max="17" width="6.5" style="3" bestFit="1" customWidth="1"/>
    <col min="18" max="18" width="5.33203125" style="3" bestFit="1" customWidth="1"/>
    <col min="19" max="19" width="6.5" style="3" bestFit="1" customWidth="1"/>
    <col min="20" max="20" width="7.1640625" style="3" bestFit="1" customWidth="1"/>
    <col min="21" max="21" width="9" style="3" bestFit="1" customWidth="1"/>
    <col min="22" max="22" width="12.6640625" style="3" bestFit="1" customWidth="1"/>
    <col min="23" max="23" width="15.1640625" style="3" bestFit="1" customWidth="1"/>
    <col min="24" max="24" width="23.33203125" style="3" bestFit="1" customWidth="1"/>
    <col min="25" max="25" width="14.33203125" style="3" bestFit="1" customWidth="1"/>
    <col min="26" max="26" width="11.6640625" style="3" bestFit="1" customWidth="1"/>
  </cols>
  <sheetData>
    <row r="1" spans="1:26" x14ac:dyDescent="0.2">
      <c r="A1" s="2" t="s">
        <v>0</v>
      </c>
      <c r="B1" s="2" t="s">
        <v>1</v>
      </c>
      <c r="C1" s="9" t="s">
        <v>2</v>
      </c>
      <c r="D1" s="9" t="s">
        <v>3</v>
      </c>
      <c r="E1" s="9" t="s">
        <v>37</v>
      </c>
      <c r="F1" s="9" t="s">
        <v>32</v>
      </c>
      <c r="G1" s="2" t="s">
        <v>33</v>
      </c>
      <c r="H1" s="9" t="s">
        <v>46</v>
      </c>
      <c r="I1" s="9" t="s">
        <v>36</v>
      </c>
      <c r="J1" s="9" t="s">
        <v>34</v>
      </c>
      <c r="K1" s="9" t="s">
        <v>48</v>
      </c>
      <c r="L1" s="9" t="s">
        <v>53</v>
      </c>
      <c r="M1" s="9" t="s">
        <v>52</v>
      </c>
      <c r="N1" s="9" t="s">
        <v>35</v>
      </c>
      <c r="O1" s="9" t="s">
        <v>38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47</v>
      </c>
      <c r="X1" s="9" t="s">
        <v>51</v>
      </c>
      <c r="Y1" s="9" t="s">
        <v>49</v>
      </c>
      <c r="Z1" s="9" t="s">
        <v>50</v>
      </c>
    </row>
    <row r="2" spans="1:26" x14ac:dyDescent="0.2">
      <c r="A2" s="3" t="s">
        <v>11</v>
      </c>
      <c r="B2" s="1" t="s">
        <v>30</v>
      </c>
      <c r="C2" s="13">
        <v>719</v>
      </c>
      <c r="D2" s="13">
        <v>413</v>
      </c>
      <c r="E2" s="13">
        <v>57</v>
      </c>
      <c r="F2" s="10">
        <v>259.60000000000002</v>
      </c>
      <c r="G2" s="5">
        <v>138.80000000000001</v>
      </c>
      <c r="H2" s="10">
        <f t="shared" ref="H2:H33" si="0">G2-F2</f>
        <v>-120.80000000000001</v>
      </c>
      <c r="I2" s="11">
        <f t="shared" ref="I2:I33" si="1">H2/Q2</f>
        <v>-1.3274725274725276</v>
      </c>
      <c r="J2" s="10">
        <f t="shared" ref="J2:J33" si="2">C2/Q2</f>
        <v>7.9010989010989015</v>
      </c>
      <c r="K2" s="10">
        <f t="shared" ref="K2:K33" si="3">IF(H2&lt;&gt;0, Q2/ (H2/10), 0)</f>
        <v>-7.533112582781456</v>
      </c>
      <c r="L2" s="13">
        <v>53288</v>
      </c>
      <c r="M2" s="10">
        <v>50.8</v>
      </c>
      <c r="N2" s="11">
        <f t="shared" ref="N2:N33" si="4">D2/Q2</f>
        <v>4.5384615384615383</v>
      </c>
      <c r="O2" s="12">
        <v>1340</v>
      </c>
      <c r="P2" s="3">
        <v>1</v>
      </c>
      <c r="Q2" s="3">
        <v>91</v>
      </c>
      <c r="R2" s="3">
        <v>28</v>
      </c>
      <c r="S2" s="3">
        <v>7</v>
      </c>
      <c r="T2" s="3">
        <v>3</v>
      </c>
      <c r="U2" s="3">
        <v>96</v>
      </c>
      <c r="V2" s="3">
        <v>34</v>
      </c>
      <c r="W2" s="3">
        <f t="shared" ref="W2:W21" si="5">U2-V2</f>
        <v>62</v>
      </c>
      <c r="X2" s="11">
        <f>V2/38</f>
        <v>0.89473684210526316</v>
      </c>
      <c r="Y2" s="11">
        <f>U2/38</f>
        <v>2.5263157894736841</v>
      </c>
      <c r="Z2" s="11">
        <f>(R2/38) * 100</f>
        <v>73.68421052631578</v>
      </c>
    </row>
    <row r="3" spans="1:26" x14ac:dyDescent="0.2">
      <c r="A3" s="3" t="s">
        <v>13</v>
      </c>
      <c r="B3" s="1" t="s">
        <v>30</v>
      </c>
      <c r="C3" s="13">
        <v>613</v>
      </c>
      <c r="D3" s="13">
        <v>327</v>
      </c>
      <c r="E3" s="13">
        <v>53</v>
      </c>
      <c r="F3" s="10">
        <v>235.1</v>
      </c>
      <c r="G3" s="5">
        <v>69.2</v>
      </c>
      <c r="H3" s="10">
        <f t="shared" si="0"/>
        <v>-165.89999999999998</v>
      </c>
      <c r="I3" s="11">
        <f t="shared" si="1"/>
        <v>-1.8640449438202245</v>
      </c>
      <c r="J3" s="11">
        <f t="shared" si="2"/>
        <v>6.8876404494382024</v>
      </c>
      <c r="K3" s="10">
        <f t="shared" si="3"/>
        <v>-5.3646775165762524</v>
      </c>
      <c r="L3" s="13">
        <v>60236</v>
      </c>
      <c r="M3" s="10">
        <v>57.4</v>
      </c>
      <c r="N3" s="11">
        <f t="shared" si="4"/>
        <v>3.6741573033707864</v>
      </c>
      <c r="O3" s="12">
        <v>1320</v>
      </c>
      <c r="P3" s="3">
        <v>2</v>
      </c>
      <c r="Q3" s="3">
        <v>89</v>
      </c>
      <c r="R3" s="3">
        <v>28</v>
      </c>
      <c r="S3" s="3">
        <v>5</v>
      </c>
      <c r="T3" s="3">
        <v>5</v>
      </c>
      <c r="U3" s="3">
        <v>91</v>
      </c>
      <c r="V3" s="3">
        <v>29</v>
      </c>
      <c r="W3" s="3">
        <f t="shared" si="5"/>
        <v>62</v>
      </c>
      <c r="X3" s="11">
        <f t="shared" ref="X3:X61" si="6">V3/38</f>
        <v>0.76315789473684215</v>
      </c>
      <c r="Y3" s="11">
        <f t="shared" ref="Y3:Y61" si="7">U3/38</f>
        <v>2.3947368421052633</v>
      </c>
      <c r="Z3" s="11">
        <f t="shared" ref="Z3:Z61" si="8">(R3/38) * 100</f>
        <v>73.68421052631578</v>
      </c>
    </row>
    <row r="4" spans="1:26" x14ac:dyDescent="0.2">
      <c r="A4" s="3" t="s">
        <v>14</v>
      </c>
      <c r="B4" s="1" t="s">
        <v>30</v>
      </c>
      <c r="C4" s="13">
        <v>614</v>
      </c>
      <c r="D4" s="13">
        <v>386</v>
      </c>
      <c r="E4" s="13">
        <v>62</v>
      </c>
      <c r="F4" s="13">
        <v>172</v>
      </c>
      <c r="G4" s="5">
        <v>60.7</v>
      </c>
      <c r="H4" s="10">
        <f t="shared" si="0"/>
        <v>-111.3</v>
      </c>
      <c r="I4" s="11">
        <f t="shared" si="1"/>
        <v>-1.3573170731707316</v>
      </c>
      <c r="J4" s="11">
        <f t="shared" si="2"/>
        <v>7.4878048780487809</v>
      </c>
      <c r="K4" s="10">
        <f t="shared" si="3"/>
        <v>-7.3674752920035944</v>
      </c>
      <c r="L4" s="13">
        <v>55809</v>
      </c>
      <c r="M4" s="10">
        <v>52.6</v>
      </c>
      <c r="N4" s="11">
        <f t="shared" si="4"/>
        <v>4.7073170731707314</v>
      </c>
      <c r="O4" s="12">
        <v>1080</v>
      </c>
      <c r="P4" s="3">
        <v>3</v>
      </c>
      <c r="Q4" s="3">
        <v>82</v>
      </c>
      <c r="R4" s="3">
        <v>24</v>
      </c>
      <c r="S4" s="3">
        <v>10</v>
      </c>
      <c r="T4" s="3">
        <v>4</v>
      </c>
      <c r="U4" s="3">
        <v>86</v>
      </c>
      <c r="V4" s="3">
        <v>41</v>
      </c>
      <c r="W4" s="3">
        <f t="shared" si="5"/>
        <v>45</v>
      </c>
      <c r="X4" s="11">
        <f t="shared" si="6"/>
        <v>1.0789473684210527</v>
      </c>
      <c r="Y4" s="11">
        <f t="shared" si="7"/>
        <v>2.263157894736842</v>
      </c>
      <c r="Z4" s="11">
        <f t="shared" si="8"/>
        <v>63.157894736842103</v>
      </c>
    </row>
    <row r="5" spans="1:26" x14ac:dyDescent="0.2">
      <c r="A5" s="3" t="s">
        <v>19</v>
      </c>
      <c r="B5" s="1" t="s">
        <v>30</v>
      </c>
      <c r="C5" s="13">
        <v>272</v>
      </c>
      <c r="D5" s="13">
        <v>252</v>
      </c>
      <c r="E5" s="13">
        <v>91</v>
      </c>
      <c r="F5" s="10">
        <v>111.5</v>
      </c>
      <c r="G5" s="4">
        <v>33.159999999999997</v>
      </c>
      <c r="H5" s="11">
        <f t="shared" si="0"/>
        <v>-78.34</v>
      </c>
      <c r="I5" s="11">
        <f t="shared" si="1"/>
        <v>-1.1520588235294118</v>
      </c>
      <c r="J5" s="13">
        <f t="shared" si="2"/>
        <v>4</v>
      </c>
      <c r="K5" s="10">
        <f t="shared" si="3"/>
        <v>-8.6801123308654571</v>
      </c>
      <c r="L5" s="13">
        <v>41921</v>
      </c>
      <c r="M5" s="10">
        <v>40.1</v>
      </c>
      <c r="N5" s="11">
        <f t="shared" si="4"/>
        <v>3.7058823529411766</v>
      </c>
      <c r="O5" s="3">
        <v>556.79999999999995</v>
      </c>
      <c r="P5" s="3">
        <v>4</v>
      </c>
      <c r="Q5" s="3">
        <v>68</v>
      </c>
      <c r="R5" s="3">
        <v>20</v>
      </c>
      <c r="S5" s="3">
        <v>8</v>
      </c>
      <c r="T5" s="3">
        <v>10</v>
      </c>
      <c r="U5" s="3">
        <v>76</v>
      </c>
      <c r="V5" s="3">
        <v>61</v>
      </c>
      <c r="W5" s="3">
        <f t="shared" si="5"/>
        <v>15</v>
      </c>
      <c r="X5" s="11">
        <f t="shared" si="6"/>
        <v>1.6052631578947369</v>
      </c>
      <c r="Y5" s="11">
        <f t="shared" si="7"/>
        <v>2</v>
      </c>
      <c r="Z5" s="11">
        <f t="shared" si="8"/>
        <v>52.631578947368418</v>
      </c>
    </row>
    <row r="6" spans="1:26" x14ac:dyDescent="0.2">
      <c r="A6" s="3" t="s">
        <v>16</v>
      </c>
      <c r="B6" s="1" t="s">
        <v>30</v>
      </c>
      <c r="C6" s="13">
        <v>588</v>
      </c>
      <c r="D6" s="13">
        <v>222</v>
      </c>
      <c r="E6" s="13">
        <v>42</v>
      </c>
      <c r="F6" s="10">
        <v>272.10000000000002</v>
      </c>
      <c r="G6" s="5">
        <v>120.7</v>
      </c>
      <c r="H6" s="10">
        <f t="shared" si="0"/>
        <v>-151.40000000000003</v>
      </c>
      <c r="I6" s="11">
        <f t="shared" si="1"/>
        <v>-2.2939393939393944</v>
      </c>
      <c r="J6" s="11">
        <f t="shared" si="2"/>
        <v>8.9090909090909083</v>
      </c>
      <c r="K6" s="10">
        <f t="shared" si="3"/>
        <v>-4.3593130779392331</v>
      </c>
      <c r="L6" s="13">
        <v>61459</v>
      </c>
      <c r="M6" s="13">
        <v>58</v>
      </c>
      <c r="N6" s="11">
        <f t="shared" si="4"/>
        <v>3.3636363636363638</v>
      </c>
      <c r="O6" s="3">
        <v>849.9</v>
      </c>
      <c r="P6" s="3">
        <v>5</v>
      </c>
      <c r="Q6" s="3">
        <v>66</v>
      </c>
      <c r="R6" s="3">
        <v>20</v>
      </c>
      <c r="S6" s="3">
        <v>6</v>
      </c>
      <c r="T6" s="3">
        <v>12</v>
      </c>
      <c r="U6" s="3">
        <v>74</v>
      </c>
      <c r="V6" s="3">
        <v>61</v>
      </c>
      <c r="W6" s="3">
        <f t="shared" si="5"/>
        <v>13</v>
      </c>
      <c r="X6" s="11">
        <f t="shared" si="6"/>
        <v>1.6052631578947369</v>
      </c>
      <c r="Y6" s="11">
        <f t="shared" si="7"/>
        <v>1.9473684210526316</v>
      </c>
      <c r="Z6" s="11">
        <f t="shared" si="8"/>
        <v>52.631578947368418</v>
      </c>
    </row>
    <row r="7" spans="1:26" x14ac:dyDescent="0.2">
      <c r="A7" s="3" t="s">
        <v>12</v>
      </c>
      <c r="B7" s="1" t="s">
        <v>30</v>
      </c>
      <c r="C7" s="13">
        <v>468</v>
      </c>
      <c r="D7" s="13">
        <v>338</v>
      </c>
      <c r="E7" s="13">
        <v>72</v>
      </c>
      <c r="F7" s="10">
        <v>464.1</v>
      </c>
      <c r="G7" s="5">
        <v>282.2</v>
      </c>
      <c r="H7" s="10">
        <f t="shared" si="0"/>
        <v>-181.90000000000003</v>
      </c>
      <c r="I7" s="11">
        <f t="shared" si="1"/>
        <v>-2.8873015873015877</v>
      </c>
      <c r="J7" s="11">
        <f t="shared" si="2"/>
        <v>7.4285714285714288</v>
      </c>
      <c r="K7" s="10">
        <f t="shared" si="3"/>
        <v>-3.4634414513468932</v>
      </c>
      <c r="L7" s="13">
        <v>39576</v>
      </c>
      <c r="M7" s="10">
        <v>37.9</v>
      </c>
      <c r="N7" s="11">
        <f t="shared" si="4"/>
        <v>5.3650793650793647</v>
      </c>
      <c r="O7" s="12">
        <v>1170</v>
      </c>
      <c r="P7" s="3">
        <v>6</v>
      </c>
      <c r="Q7" s="3">
        <v>63</v>
      </c>
      <c r="R7" s="3">
        <v>18</v>
      </c>
      <c r="S7" s="3">
        <v>9</v>
      </c>
      <c r="T7" s="3">
        <v>11</v>
      </c>
      <c r="U7" s="3">
        <v>77</v>
      </c>
      <c r="V7" s="3">
        <v>63</v>
      </c>
      <c r="W7" s="3">
        <f t="shared" si="5"/>
        <v>14</v>
      </c>
      <c r="X7" s="11">
        <f t="shared" si="6"/>
        <v>1.6578947368421053</v>
      </c>
      <c r="Y7" s="11">
        <f t="shared" si="7"/>
        <v>2.0263157894736841</v>
      </c>
      <c r="Z7" s="11">
        <f t="shared" si="8"/>
        <v>47.368421052631575</v>
      </c>
    </row>
    <row r="8" spans="1:26" x14ac:dyDescent="0.2">
      <c r="A8" s="3" t="s">
        <v>18</v>
      </c>
      <c r="B8" s="1" t="s">
        <v>30</v>
      </c>
      <c r="C8" s="13">
        <v>320</v>
      </c>
      <c r="D8" s="13">
        <v>219</v>
      </c>
      <c r="E8" s="13">
        <v>68</v>
      </c>
      <c r="F8" s="10">
        <v>148.1</v>
      </c>
      <c r="G8" s="5">
        <v>44.6</v>
      </c>
      <c r="H8" s="10">
        <f t="shared" si="0"/>
        <v>-103.5</v>
      </c>
      <c r="I8" s="11">
        <f t="shared" si="1"/>
        <v>-1.7250000000000001</v>
      </c>
      <c r="J8" s="11">
        <f t="shared" si="2"/>
        <v>5.333333333333333</v>
      </c>
      <c r="K8" s="10">
        <f t="shared" si="3"/>
        <v>-5.7971014492753623</v>
      </c>
      <c r="L8" s="13">
        <v>52153</v>
      </c>
      <c r="M8" s="10">
        <v>49.9</v>
      </c>
      <c r="N8" s="11">
        <f t="shared" si="4"/>
        <v>3.65</v>
      </c>
      <c r="O8" s="3">
        <v>684.9</v>
      </c>
      <c r="P8" s="3">
        <v>7</v>
      </c>
      <c r="Q8" s="3">
        <v>60</v>
      </c>
      <c r="R8" s="3">
        <v>18</v>
      </c>
      <c r="S8" s="3">
        <v>6</v>
      </c>
      <c r="T8" s="3">
        <v>14</v>
      </c>
      <c r="U8" s="3">
        <v>85</v>
      </c>
      <c r="V8" s="3">
        <v>62</v>
      </c>
      <c r="W8" s="3">
        <f t="shared" si="5"/>
        <v>23</v>
      </c>
      <c r="X8" s="11">
        <f t="shared" si="6"/>
        <v>1.631578947368421</v>
      </c>
      <c r="Y8" s="11">
        <f t="shared" si="7"/>
        <v>2.236842105263158</v>
      </c>
      <c r="Z8" s="11">
        <f t="shared" si="8"/>
        <v>47.368421052631575</v>
      </c>
    </row>
    <row r="9" spans="1:26" x14ac:dyDescent="0.2">
      <c r="A9" s="3" t="s">
        <v>15</v>
      </c>
      <c r="B9" s="1" t="s">
        <v>30</v>
      </c>
      <c r="C9" s="13">
        <v>662</v>
      </c>
      <c r="D9" s="13">
        <v>365</v>
      </c>
      <c r="E9" s="13">
        <v>55</v>
      </c>
      <c r="F9" s="10">
        <v>210.7</v>
      </c>
      <c r="G9" s="4">
        <v>63.77</v>
      </c>
      <c r="H9" s="11">
        <f t="shared" si="0"/>
        <v>-146.92999999999998</v>
      </c>
      <c r="I9" s="11">
        <f t="shared" si="1"/>
        <v>-2.448833333333333</v>
      </c>
      <c r="J9" s="11">
        <f t="shared" si="2"/>
        <v>11.033333333333333</v>
      </c>
      <c r="K9" s="10">
        <f t="shared" si="3"/>
        <v>-4.0835772136391482</v>
      </c>
      <c r="L9" s="13">
        <v>73534</v>
      </c>
      <c r="M9" s="10">
        <v>83.8</v>
      </c>
      <c r="N9" s="11">
        <f t="shared" si="4"/>
        <v>6.083333333333333</v>
      </c>
      <c r="O9" s="3">
        <v>892.2</v>
      </c>
      <c r="P9" s="3">
        <v>8</v>
      </c>
      <c r="Q9" s="3">
        <v>60</v>
      </c>
      <c r="R9" s="3">
        <v>18</v>
      </c>
      <c r="S9" s="3">
        <v>6</v>
      </c>
      <c r="T9" s="3">
        <v>14</v>
      </c>
      <c r="U9" s="3">
        <v>57</v>
      </c>
      <c r="V9" s="3">
        <v>58</v>
      </c>
      <c r="W9" s="3">
        <f t="shared" si="5"/>
        <v>-1</v>
      </c>
      <c r="X9" s="11">
        <f t="shared" si="6"/>
        <v>1.5263157894736843</v>
      </c>
      <c r="Y9" s="11">
        <f t="shared" si="7"/>
        <v>1.5</v>
      </c>
      <c r="Z9" s="11">
        <f t="shared" si="8"/>
        <v>47.368421052631575</v>
      </c>
    </row>
    <row r="10" spans="1:26" x14ac:dyDescent="0.2">
      <c r="A10" s="3" t="s">
        <v>22</v>
      </c>
      <c r="B10" s="1" t="s">
        <v>30</v>
      </c>
      <c r="C10" s="13">
        <v>271</v>
      </c>
      <c r="D10" s="13">
        <v>161</v>
      </c>
      <c r="E10" s="13">
        <v>59</v>
      </c>
      <c r="F10" s="11">
        <v>144.56</v>
      </c>
      <c r="G10" s="4">
        <v>172.86</v>
      </c>
      <c r="H10" s="10">
        <f t="shared" si="0"/>
        <v>28.300000000000011</v>
      </c>
      <c r="I10" s="11">
        <f t="shared" si="1"/>
        <v>0.54423076923076941</v>
      </c>
      <c r="J10" s="11">
        <f t="shared" si="2"/>
        <v>5.2115384615384617</v>
      </c>
      <c r="K10" s="10">
        <f t="shared" si="3"/>
        <v>18.374558303886918</v>
      </c>
      <c r="L10" s="13">
        <v>62440</v>
      </c>
      <c r="M10" s="10">
        <v>56.7</v>
      </c>
      <c r="N10" s="10">
        <f t="shared" si="4"/>
        <v>3.0961538461538463</v>
      </c>
      <c r="O10" s="3">
        <v>327.60000000000002</v>
      </c>
      <c r="P10" s="3">
        <v>9</v>
      </c>
      <c r="Q10" s="3">
        <v>52</v>
      </c>
      <c r="R10" s="3">
        <v>14</v>
      </c>
      <c r="S10" s="3">
        <v>10</v>
      </c>
      <c r="T10" s="3">
        <v>14</v>
      </c>
      <c r="U10" s="3">
        <v>60</v>
      </c>
      <c r="V10" s="3">
        <v>74</v>
      </c>
      <c r="W10" s="3">
        <f t="shared" si="5"/>
        <v>-14</v>
      </c>
      <c r="X10" s="11">
        <f t="shared" si="6"/>
        <v>1.9473684210526316</v>
      </c>
      <c r="Y10" s="11">
        <f t="shared" si="7"/>
        <v>1.5789473684210527</v>
      </c>
      <c r="Z10" s="11">
        <f t="shared" si="8"/>
        <v>36.84210526315789</v>
      </c>
    </row>
    <row r="11" spans="1:26" x14ac:dyDescent="0.2">
      <c r="A11" s="3" t="s">
        <v>21</v>
      </c>
      <c r="B11" s="1" t="s">
        <v>30</v>
      </c>
      <c r="C11" s="13">
        <v>189</v>
      </c>
      <c r="D11" s="13">
        <v>134</v>
      </c>
      <c r="E11" s="13">
        <v>70</v>
      </c>
      <c r="F11" s="10">
        <v>67.8</v>
      </c>
      <c r="G11" s="6">
        <v>0</v>
      </c>
      <c r="H11" s="10">
        <f t="shared" si="0"/>
        <v>-67.8</v>
      </c>
      <c r="I11" s="11">
        <f t="shared" si="1"/>
        <v>-1.383673469387755</v>
      </c>
      <c r="J11" s="11">
        <f t="shared" si="2"/>
        <v>3.8571428571428572</v>
      </c>
      <c r="K11" s="10">
        <f t="shared" si="3"/>
        <v>-7.227138643067847</v>
      </c>
      <c r="L11" s="13">
        <v>24881</v>
      </c>
      <c r="M11" s="10">
        <v>28.4</v>
      </c>
      <c r="N11" s="10">
        <f t="shared" si="4"/>
        <v>2.7346938775510203</v>
      </c>
      <c r="O11" s="3">
        <v>461.3</v>
      </c>
      <c r="P11" s="3">
        <v>10</v>
      </c>
      <c r="Q11" s="3">
        <v>49</v>
      </c>
      <c r="R11" s="3">
        <v>13</v>
      </c>
      <c r="S11" s="3">
        <v>10</v>
      </c>
      <c r="T11" s="3">
        <v>15</v>
      </c>
      <c r="U11" s="3">
        <v>57</v>
      </c>
      <c r="V11" s="3">
        <v>58</v>
      </c>
      <c r="W11" s="3">
        <f t="shared" si="5"/>
        <v>-1</v>
      </c>
      <c r="X11" s="11">
        <f t="shared" si="6"/>
        <v>1.5263157894736843</v>
      </c>
      <c r="Y11" s="11">
        <f t="shared" si="7"/>
        <v>1.5</v>
      </c>
      <c r="Z11" s="11">
        <f t="shared" si="8"/>
        <v>34.210526315789473</v>
      </c>
    </row>
    <row r="12" spans="1:26" x14ac:dyDescent="0.2">
      <c r="A12" s="3" t="s">
        <v>17</v>
      </c>
      <c r="B12" s="1" t="s">
        <v>30</v>
      </c>
      <c r="C12" s="13">
        <v>223</v>
      </c>
      <c r="D12" s="13">
        <v>146</v>
      </c>
      <c r="E12" s="13">
        <v>65</v>
      </c>
      <c r="F12" s="11">
        <v>106.85</v>
      </c>
      <c r="G12" s="6">
        <v>189</v>
      </c>
      <c r="H12" s="11">
        <f t="shared" si="0"/>
        <v>82.15</v>
      </c>
      <c r="I12" s="11">
        <f t="shared" si="1"/>
        <v>1.7114583333333335</v>
      </c>
      <c r="J12" s="11">
        <f t="shared" si="2"/>
        <v>4.645833333333333</v>
      </c>
      <c r="K12" s="10">
        <f t="shared" si="3"/>
        <v>5.8429701765063911</v>
      </c>
      <c r="L12" s="13">
        <v>31543</v>
      </c>
      <c r="M12" s="10">
        <v>36</v>
      </c>
      <c r="N12" s="11">
        <f t="shared" si="4"/>
        <v>3.0416666666666665</v>
      </c>
      <c r="O12" s="3">
        <v>665.4</v>
      </c>
      <c r="P12" s="3">
        <v>11</v>
      </c>
      <c r="Q12" s="3">
        <v>48</v>
      </c>
      <c r="R12" s="3">
        <v>12</v>
      </c>
      <c r="S12" s="3">
        <v>12</v>
      </c>
      <c r="T12" s="3">
        <v>14</v>
      </c>
      <c r="U12" s="3">
        <v>55</v>
      </c>
      <c r="V12" s="3">
        <v>62</v>
      </c>
      <c r="W12" s="3">
        <f t="shared" si="5"/>
        <v>-7</v>
      </c>
      <c r="X12" s="11">
        <f t="shared" si="6"/>
        <v>1.631578947368421</v>
      </c>
      <c r="Y12" s="11">
        <f t="shared" si="7"/>
        <v>1.4473684210526316</v>
      </c>
      <c r="Z12" s="11">
        <f t="shared" si="8"/>
        <v>31.578947368421051</v>
      </c>
    </row>
    <row r="13" spans="1:26" x14ac:dyDescent="0.2">
      <c r="A13" s="3" t="s">
        <v>27</v>
      </c>
      <c r="B13" s="1" t="s">
        <v>30</v>
      </c>
      <c r="C13" s="13">
        <v>161</v>
      </c>
      <c r="D13" s="13">
        <v>136</v>
      </c>
      <c r="E13" s="13">
        <v>84</v>
      </c>
      <c r="F13" s="11">
        <v>127.29</v>
      </c>
      <c r="G13" s="5">
        <v>1.5</v>
      </c>
      <c r="H13" s="11">
        <f t="shared" si="0"/>
        <v>-125.79</v>
      </c>
      <c r="I13" s="11">
        <f t="shared" si="1"/>
        <v>-2.620625</v>
      </c>
      <c r="J13" s="11">
        <f t="shared" si="2"/>
        <v>3.3541666666666665</v>
      </c>
      <c r="K13" s="10">
        <f t="shared" si="3"/>
        <v>-3.8158836155497253</v>
      </c>
      <c r="L13" s="13">
        <v>11098</v>
      </c>
      <c r="M13" s="10">
        <v>12.6</v>
      </c>
      <c r="N13" s="11">
        <f t="shared" si="4"/>
        <v>2.8333333333333335</v>
      </c>
      <c r="O13" s="3">
        <v>419.35</v>
      </c>
      <c r="P13" s="3">
        <v>12</v>
      </c>
      <c r="Q13" s="3">
        <v>48</v>
      </c>
      <c r="R13" s="3">
        <v>13</v>
      </c>
      <c r="S13" s="3">
        <v>9</v>
      </c>
      <c r="T13" s="3">
        <v>16</v>
      </c>
      <c r="U13" s="3">
        <v>54</v>
      </c>
      <c r="V13" s="3">
        <v>67</v>
      </c>
      <c r="W13" s="3">
        <f t="shared" si="5"/>
        <v>-13</v>
      </c>
      <c r="X13" s="11">
        <f t="shared" si="6"/>
        <v>1.763157894736842</v>
      </c>
      <c r="Y13" s="11">
        <f t="shared" si="7"/>
        <v>1.4210526315789473</v>
      </c>
      <c r="Z13" s="11">
        <f t="shared" si="8"/>
        <v>34.210526315789473</v>
      </c>
    </row>
    <row r="14" spans="1:26" x14ac:dyDescent="0.2">
      <c r="A14" s="3" t="s">
        <v>24</v>
      </c>
      <c r="B14" s="1" t="s">
        <v>30</v>
      </c>
      <c r="C14" s="13">
        <v>181</v>
      </c>
      <c r="D14" s="13">
        <v>154</v>
      </c>
      <c r="E14" s="13">
        <v>83</v>
      </c>
      <c r="F14" s="11">
        <v>73.17</v>
      </c>
      <c r="G14" s="5">
        <v>53.2</v>
      </c>
      <c r="H14" s="11">
        <f t="shared" si="0"/>
        <v>-19.97</v>
      </c>
      <c r="I14" s="11">
        <f t="shared" si="1"/>
        <v>-0.42489361702127659</v>
      </c>
      <c r="J14" s="11">
        <f t="shared" si="2"/>
        <v>3.8510638297872339</v>
      </c>
      <c r="K14" s="10">
        <f t="shared" si="3"/>
        <v>-23.53530295443165</v>
      </c>
      <c r="L14" s="13">
        <v>24301</v>
      </c>
      <c r="M14" s="10">
        <v>27.6</v>
      </c>
      <c r="N14" s="10">
        <f t="shared" si="4"/>
        <v>3.2765957446808511</v>
      </c>
      <c r="O14" s="3">
        <v>332.1</v>
      </c>
      <c r="P14" s="3">
        <v>13</v>
      </c>
      <c r="Q14" s="3">
        <v>47</v>
      </c>
      <c r="R14" s="3">
        <v>13</v>
      </c>
      <c r="S14" s="3">
        <v>8</v>
      </c>
      <c r="T14" s="3">
        <v>17</v>
      </c>
      <c r="U14" s="3">
        <v>55</v>
      </c>
      <c r="V14" s="3">
        <v>61</v>
      </c>
      <c r="W14" s="3">
        <f t="shared" si="5"/>
        <v>-6</v>
      </c>
      <c r="X14" s="11">
        <f t="shared" si="6"/>
        <v>1.6052631578947369</v>
      </c>
      <c r="Y14" s="11">
        <f t="shared" si="7"/>
        <v>1.4473684210526316</v>
      </c>
      <c r="Z14" s="11">
        <f t="shared" si="8"/>
        <v>34.210526315789473</v>
      </c>
    </row>
    <row r="15" spans="1:26" x14ac:dyDescent="0.2">
      <c r="A15" s="3" t="s">
        <v>25</v>
      </c>
      <c r="B15" s="1" t="s">
        <v>30</v>
      </c>
      <c r="C15" s="13">
        <v>178</v>
      </c>
      <c r="D15" s="13">
        <v>141</v>
      </c>
      <c r="E15" s="13">
        <v>79</v>
      </c>
      <c r="F15" s="13">
        <v>94</v>
      </c>
      <c r="G15" s="5">
        <v>169.2</v>
      </c>
      <c r="H15" s="10">
        <f t="shared" si="0"/>
        <v>75.199999999999989</v>
      </c>
      <c r="I15" s="11">
        <f t="shared" si="1"/>
        <v>1.6347826086956518</v>
      </c>
      <c r="J15" s="11">
        <f t="shared" si="2"/>
        <v>3.8695652173913042</v>
      </c>
      <c r="K15" s="10">
        <f t="shared" si="3"/>
        <v>6.1170212765957457</v>
      </c>
      <c r="L15" s="13">
        <v>31037</v>
      </c>
      <c r="M15" s="10">
        <v>35.6</v>
      </c>
      <c r="N15" s="11">
        <f t="shared" si="4"/>
        <v>3.0652173913043477</v>
      </c>
      <c r="O15" s="3">
        <v>312.3</v>
      </c>
      <c r="P15" s="3">
        <v>14</v>
      </c>
      <c r="Q15" s="3">
        <v>46</v>
      </c>
      <c r="R15" s="3">
        <v>13</v>
      </c>
      <c r="S15" s="3">
        <v>7</v>
      </c>
      <c r="T15" s="3">
        <v>18</v>
      </c>
      <c r="U15" s="3">
        <v>50</v>
      </c>
      <c r="V15" s="3">
        <v>65</v>
      </c>
      <c r="W15" s="3">
        <f t="shared" si="5"/>
        <v>-15</v>
      </c>
      <c r="X15" s="11">
        <f t="shared" si="6"/>
        <v>1.7105263157894737</v>
      </c>
      <c r="Y15" s="11">
        <f t="shared" si="7"/>
        <v>1.3157894736842106</v>
      </c>
      <c r="Z15" s="11">
        <f t="shared" si="8"/>
        <v>34.210526315789473</v>
      </c>
    </row>
    <row r="16" spans="1:26" x14ac:dyDescent="0.2">
      <c r="A16" s="3" t="s">
        <v>23</v>
      </c>
      <c r="B16" s="1" t="s">
        <v>30</v>
      </c>
      <c r="C16" s="13">
        <v>187</v>
      </c>
      <c r="D16" s="13">
        <v>157</v>
      </c>
      <c r="E16" s="13">
        <v>84</v>
      </c>
      <c r="F16" s="10">
        <v>40.5</v>
      </c>
      <c r="G16" s="5">
        <v>82.8</v>
      </c>
      <c r="H16" s="10">
        <f t="shared" si="0"/>
        <v>42.3</v>
      </c>
      <c r="I16" s="11">
        <f t="shared" si="1"/>
        <v>1.0574999999999999</v>
      </c>
      <c r="J16" s="11">
        <f t="shared" si="2"/>
        <v>4.6749999999999998</v>
      </c>
      <c r="K16" s="10">
        <f t="shared" si="3"/>
        <v>9.4562647754137128</v>
      </c>
      <c r="L16" s="13">
        <v>39042</v>
      </c>
      <c r="M16" s="10">
        <v>37.299999999999997</v>
      </c>
      <c r="N16" s="11">
        <f t="shared" si="4"/>
        <v>3.9249999999999998</v>
      </c>
      <c r="O16" s="3">
        <v>284.2</v>
      </c>
      <c r="P16" s="3">
        <v>15</v>
      </c>
      <c r="Q16" s="3">
        <v>40</v>
      </c>
      <c r="R16" s="3">
        <v>13</v>
      </c>
      <c r="S16" s="3">
        <v>9</v>
      </c>
      <c r="T16" s="3">
        <v>16</v>
      </c>
      <c r="U16" s="3">
        <v>40</v>
      </c>
      <c r="V16" s="3">
        <v>51</v>
      </c>
      <c r="W16" s="3">
        <f t="shared" si="5"/>
        <v>-11</v>
      </c>
      <c r="X16" s="11">
        <f t="shared" si="6"/>
        <v>1.3421052631578947</v>
      </c>
      <c r="Y16" s="11">
        <f t="shared" si="7"/>
        <v>1.0526315789473684</v>
      </c>
      <c r="Z16" s="11">
        <f t="shared" si="8"/>
        <v>34.210526315789473</v>
      </c>
    </row>
    <row r="17" spans="1:26" x14ac:dyDescent="0.2">
      <c r="A17" s="3" t="s">
        <v>26</v>
      </c>
      <c r="B17" s="1" t="s">
        <v>30</v>
      </c>
      <c r="C17" s="13">
        <v>169</v>
      </c>
      <c r="D17" s="13">
        <v>114</v>
      </c>
      <c r="E17" s="13">
        <v>68</v>
      </c>
      <c r="F17" s="11">
        <v>72.349999999999994</v>
      </c>
      <c r="G17" s="4">
        <v>10.25</v>
      </c>
      <c r="H17" s="10">
        <f t="shared" si="0"/>
        <v>-62.099999999999994</v>
      </c>
      <c r="I17" s="11">
        <f t="shared" si="1"/>
        <v>-1.5923076923076922</v>
      </c>
      <c r="J17" s="11">
        <f t="shared" si="2"/>
        <v>4.333333333333333</v>
      </c>
      <c r="K17" s="10">
        <f t="shared" si="3"/>
        <v>-6.2801932367149771</v>
      </c>
      <c r="L17" s="13">
        <v>17082</v>
      </c>
      <c r="M17" s="10">
        <v>19.7</v>
      </c>
      <c r="N17" s="11">
        <f t="shared" si="4"/>
        <v>2.9230769230769229</v>
      </c>
      <c r="O17" s="3">
        <v>440.1</v>
      </c>
      <c r="P17" s="3">
        <v>16</v>
      </c>
      <c r="Q17" s="3">
        <v>39</v>
      </c>
      <c r="R17" s="3">
        <v>10</v>
      </c>
      <c r="S17" s="3">
        <v>9</v>
      </c>
      <c r="T17" s="3">
        <v>19</v>
      </c>
      <c r="U17" s="3">
        <v>56</v>
      </c>
      <c r="V17" s="3">
        <v>65</v>
      </c>
      <c r="W17" s="3">
        <f t="shared" si="5"/>
        <v>-9</v>
      </c>
      <c r="X17" s="11">
        <f t="shared" si="6"/>
        <v>1.7105263157894737</v>
      </c>
      <c r="Y17" s="11">
        <f t="shared" si="7"/>
        <v>1.4736842105263157</v>
      </c>
      <c r="Z17" s="11">
        <f t="shared" si="8"/>
        <v>26.315789473684209</v>
      </c>
    </row>
    <row r="18" spans="1:26" x14ac:dyDescent="0.2">
      <c r="A18" s="3" t="s">
        <v>20</v>
      </c>
      <c r="B18" s="1" t="s">
        <v>30</v>
      </c>
      <c r="C18" s="13">
        <v>174</v>
      </c>
      <c r="D18" s="13">
        <v>227</v>
      </c>
      <c r="E18" s="13">
        <v>87</v>
      </c>
      <c r="F18" s="11">
        <v>131.63</v>
      </c>
      <c r="G18" s="4">
        <v>82.82</v>
      </c>
      <c r="H18" s="11">
        <f t="shared" si="0"/>
        <v>-48.81</v>
      </c>
      <c r="I18" s="11">
        <f t="shared" si="1"/>
        <v>-1.5253125000000001</v>
      </c>
      <c r="J18" s="11">
        <f t="shared" si="2"/>
        <v>5.4375</v>
      </c>
      <c r="K18" s="10">
        <f t="shared" si="3"/>
        <v>-6.5560335996721983</v>
      </c>
      <c r="L18" s="13">
        <v>29386</v>
      </c>
      <c r="M18" s="10">
        <v>33.9</v>
      </c>
      <c r="N18" s="11">
        <f t="shared" si="4"/>
        <v>7.09375</v>
      </c>
      <c r="O18" s="3">
        <v>443</v>
      </c>
      <c r="P18" s="3">
        <v>17</v>
      </c>
      <c r="Q18" s="3">
        <v>32</v>
      </c>
      <c r="R18" s="3">
        <v>9</v>
      </c>
      <c r="S18" s="3">
        <v>9</v>
      </c>
      <c r="T18" s="3">
        <v>20</v>
      </c>
      <c r="U18" s="3">
        <v>49</v>
      </c>
      <c r="V18" s="3">
        <v>67</v>
      </c>
      <c r="W18" s="3">
        <f t="shared" si="5"/>
        <v>-18</v>
      </c>
      <c r="X18" s="11">
        <f t="shared" si="6"/>
        <v>1.763157894736842</v>
      </c>
      <c r="Y18" s="11">
        <f t="shared" si="7"/>
        <v>1.2894736842105263</v>
      </c>
      <c r="Z18" s="11">
        <f t="shared" si="8"/>
        <v>23.684210526315788</v>
      </c>
    </row>
    <row r="19" spans="1:26" x14ac:dyDescent="0.2">
      <c r="A19" s="3" t="s">
        <v>29</v>
      </c>
      <c r="B19" s="1" t="s">
        <v>30</v>
      </c>
      <c r="C19" s="13">
        <v>132</v>
      </c>
      <c r="D19" s="13">
        <v>56</v>
      </c>
      <c r="E19" s="13">
        <v>43</v>
      </c>
      <c r="F19" s="10">
        <v>25.9</v>
      </c>
      <c r="G19" s="5">
        <v>0.3</v>
      </c>
      <c r="H19" s="10">
        <f t="shared" si="0"/>
        <v>-25.599999999999998</v>
      </c>
      <c r="I19" s="11">
        <f t="shared" si="1"/>
        <v>-0.98461538461538456</v>
      </c>
      <c r="J19" s="11">
        <f t="shared" si="2"/>
        <v>5.0769230769230766</v>
      </c>
      <c r="K19" s="10">
        <f t="shared" si="3"/>
        <v>-10.156250000000002</v>
      </c>
      <c r="L19" s="13">
        <v>11244</v>
      </c>
      <c r="M19" s="10">
        <v>12.8</v>
      </c>
      <c r="N19" s="11">
        <f t="shared" si="4"/>
        <v>2.1538461538461537</v>
      </c>
      <c r="O19" s="3">
        <v>57.43</v>
      </c>
      <c r="P19" s="3">
        <v>18</v>
      </c>
      <c r="Q19" s="3">
        <v>26</v>
      </c>
      <c r="R19" s="3">
        <v>6</v>
      </c>
      <c r="S19" s="3">
        <v>8</v>
      </c>
      <c r="T19" s="3">
        <v>24</v>
      </c>
      <c r="U19" s="3">
        <v>52</v>
      </c>
      <c r="V19" s="3">
        <v>85</v>
      </c>
      <c r="W19" s="3">
        <f t="shared" si="5"/>
        <v>-33</v>
      </c>
      <c r="X19" s="11">
        <f t="shared" si="6"/>
        <v>2.236842105263158</v>
      </c>
      <c r="Y19" s="11">
        <f t="shared" si="7"/>
        <v>1.368421052631579</v>
      </c>
      <c r="Z19" s="11">
        <f t="shared" si="8"/>
        <v>15.789473684210526</v>
      </c>
    </row>
    <row r="20" spans="1:26" x14ac:dyDescent="0.2">
      <c r="A20" s="3" t="s">
        <v>28</v>
      </c>
      <c r="B20" s="1" t="s">
        <v>30</v>
      </c>
      <c r="C20" s="13">
        <v>134</v>
      </c>
      <c r="D20" s="13">
        <v>93</v>
      </c>
      <c r="E20" s="13">
        <v>70</v>
      </c>
      <c r="F20" s="11">
        <v>111.05</v>
      </c>
      <c r="G20" s="5">
        <v>3.8</v>
      </c>
      <c r="H20" s="11">
        <f t="shared" si="0"/>
        <v>-107.25</v>
      </c>
      <c r="I20" s="11">
        <f t="shared" si="1"/>
        <v>-4.46875</v>
      </c>
      <c r="J20" s="11">
        <f t="shared" si="2"/>
        <v>5.583333333333333</v>
      </c>
      <c r="K20" s="10">
        <f t="shared" si="3"/>
        <v>-2.2377622377622379</v>
      </c>
      <c r="L20" s="13">
        <v>21153</v>
      </c>
      <c r="M20" s="10">
        <v>25.5</v>
      </c>
      <c r="N20" s="11">
        <f t="shared" si="4"/>
        <v>3.875</v>
      </c>
      <c r="O20" s="3">
        <v>232.2</v>
      </c>
      <c r="P20" s="3">
        <v>19</v>
      </c>
      <c r="Q20" s="3">
        <v>24</v>
      </c>
      <c r="R20" s="3">
        <v>5</v>
      </c>
      <c r="S20" s="3">
        <v>9</v>
      </c>
      <c r="T20" s="3">
        <v>24</v>
      </c>
      <c r="U20" s="3">
        <v>41</v>
      </c>
      <c r="V20" s="3">
        <v>78</v>
      </c>
      <c r="W20" s="3">
        <f t="shared" si="5"/>
        <v>-37</v>
      </c>
      <c r="X20" s="11">
        <f t="shared" si="6"/>
        <v>2.0526315789473686</v>
      </c>
      <c r="Y20" s="11">
        <f t="shared" si="7"/>
        <v>1.0789473684210527</v>
      </c>
      <c r="Z20" s="11">
        <f t="shared" si="8"/>
        <v>13.157894736842104</v>
      </c>
    </row>
    <row r="21" spans="1:26" x14ac:dyDescent="0.2">
      <c r="A21" s="3" t="s">
        <v>31</v>
      </c>
      <c r="B21" s="1" t="s">
        <v>30</v>
      </c>
      <c r="C21" s="13">
        <v>138</v>
      </c>
      <c r="D21" s="13">
        <v>63</v>
      </c>
      <c r="E21" s="13">
        <v>46</v>
      </c>
      <c r="F21" s="11">
        <v>66.95</v>
      </c>
      <c r="G21" s="5">
        <v>30.9</v>
      </c>
      <c r="H21" s="11">
        <f t="shared" si="0"/>
        <v>-36.050000000000004</v>
      </c>
      <c r="I21" s="11">
        <f t="shared" si="1"/>
        <v>-2.2531250000000003</v>
      </c>
      <c r="J21" s="11">
        <f t="shared" si="2"/>
        <v>8.625</v>
      </c>
      <c r="K21" s="10">
        <f t="shared" si="3"/>
        <v>-4.438280166435506</v>
      </c>
      <c r="L21" s="13">
        <v>29962</v>
      </c>
      <c r="M21" s="10">
        <v>33.9</v>
      </c>
      <c r="N21" s="11">
        <f t="shared" si="4"/>
        <v>3.9375</v>
      </c>
      <c r="O21" s="3">
        <v>157.65</v>
      </c>
      <c r="P21" s="3">
        <v>20</v>
      </c>
      <c r="Q21" s="3">
        <v>16</v>
      </c>
      <c r="R21" s="3">
        <v>3</v>
      </c>
      <c r="S21" s="3">
        <v>7</v>
      </c>
      <c r="T21" s="3">
        <v>28</v>
      </c>
      <c r="U21" s="3">
        <v>35</v>
      </c>
      <c r="V21" s="3">
        <v>104</v>
      </c>
      <c r="W21" s="3">
        <f t="shared" si="5"/>
        <v>-69</v>
      </c>
      <c r="X21" s="11">
        <f t="shared" si="6"/>
        <v>2.736842105263158</v>
      </c>
      <c r="Y21" s="11">
        <f t="shared" si="7"/>
        <v>0.92105263157894735</v>
      </c>
      <c r="Z21" s="11">
        <f t="shared" si="8"/>
        <v>7.8947368421052628</v>
      </c>
    </row>
    <row r="22" spans="1:26" x14ac:dyDescent="0.2">
      <c r="A22" s="3" t="s">
        <v>11</v>
      </c>
      <c r="B22" s="7" t="s">
        <v>39</v>
      </c>
      <c r="C22" s="13">
        <v>712</v>
      </c>
      <c r="D22" s="3">
        <v>422</v>
      </c>
      <c r="E22" s="3">
        <v>59</v>
      </c>
      <c r="F22" s="3">
        <v>155</v>
      </c>
      <c r="G22" s="1">
        <v>162.16999999999999</v>
      </c>
      <c r="H22" s="11">
        <f t="shared" si="0"/>
        <v>7.1699999999999875</v>
      </c>
      <c r="I22" s="11">
        <f t="shared" si="1"/>
        <v>8.0561797752808847E-2</v>
      </c>
      <c r="J22" s="11">
        <f t="shared" si="2"/>
        <v>8</v>
      </c>
      <c r="K22" s="10">
        <f t="shared" si="3"/>
        <v>124.12831241283146</v>
      </c>
      <c r="L22" s="13">
        <v>53249</v>
      </c>
      <c r="M22" s="10">
        <v>60.6</v>
      </c>
      <c r="N22" s="11">
        <f t="shared" si="4"/>
        <v>4.7415730337078648</v>
      </c>
      <c r="O22" s="12">
        <v>1050</v>
      </c>
      <c r="P22" s="3">
        <v>1</v>
      </c>
      <c r="Q22" s="3">
        <v>89</v>
      </c>
      <c r="R22" s="3">
        <v>28</v>
      </c>
      <c r="S22" s="3">
        <v>5</v>
      </c>
      <c r="T22" s="3">
        <v>5</v>
      </c>
      <c r="U22" s="3">
        <v>94</v>
      </c>
      <c r="V22" s="3">
        <v>33</v>
      </c>
      <c r="W22" s="3">
        <f>U22-V22</f>
        <v>61</v>
      </c>
      <c r="X22" s="11">
        <f t="shared" si="6"/>
        <v>0.86842105263157898</v>
      </c>
      <c r="Y22" s="11">
        <f t="shared" si="7"/>
        <v>2.4736842105263159</v>
      </c>
      <c r="Z22" s="11">
        <f t="shared" si="8"/>
        <v>73.68421052631578</v>
      </c>
    </row>
    <row r="23" spans="1:26" x14ac:dyDescent="0.2">
      <c r="A23" s="3" t="s">
        <v>13</v>
      </c>
      <c r="B23" s="7" t="s">
        <v>39</v>
      </c>
      <c r="C23" s="13">
        <v>464</v>
      </c>
      <c r="D23" s="3">
        <v>234</v>
      </c>
      <c r="E23" s="3">
        <v>50</v>
      </c>
      <c r="F23" s="11">
        <v>186.4</v>
      </c>
      <c r="G23" s="5">
        <v>23.8</v>
      </c>
      <c r="H23" s="11">
        <f t="shared" si="0"/>
        <v>-162.6</v>
      </c>
      <c r="I23" s="11">
        <f t="shared" si="1"/>
        <v>-1.9357142857142857</v>
      </c>
      <c r="J23" s="11">
        <f t="shared" si="2"/>
        <v>5.5238095238095237</v>
      </c>
      <c r="K23" s="10">
        <f t="shared" si="3"/>
        <v>-5.1660516605166054</v>
      </c>
      <c r="L23" s="13">
        <v>60191</v>
      </c>
      <c r="M23" s="10">
        <v>68.5</v>
      </c>
      <c r="N23" s="11">
        <f t="shared" si="4"/>
        <v>2.7857142857142856</v>
      </c>
      <c r="O23" s="3">
        <v>890</v>
      </c>
      <c r="P23" s="3">
        <v>2</v>
      </c>
      <c r="Q23" s="3">
        <v>84</v>
      </c>
      <c r="R23" s="3">
        <v>26</v>
      </c>
      <c r="S23" s="3">
        <v>6</v>
      </c>
      <c r="T23" s="3">
        <v>6</v>
      </c>
      <c r="U23" s="3">
        <v>94</v>
      </c>
      <c r="V23" s="3">
        <v>43</v>
      </c>
      <c r="W23" s="3">
        <f t="shared" ref="W23:W61" si="9">U23-V23</f>
        <v>51</v>
      </c>
      <c r="X23" s="11">
        <f t="shared" si="6"/>
        <v>1.131578947368421</v>
      </c>
      <c r="Y23" s="11">
        <f t="shared" si="7"/>
        <v>2.4736842105263159</v>
      </c>
      <c r="Z23" s="11">
        <f t="shared" si="8"/>
        <v>68.421052631578945</v>
      </c>
    </row>
    <row r="24" spans="1:26" x14ac:dyDescent="0.2">
      <c r="A24" s="3" t="s">
        <v>14</v>
      </c>
      <c r="B24" s="7" t="s">
        <v>39</v>
      </c>
      <c r="C24" s="13">
        <v>594</v>
      </c>
      <c r="D24" s="3">
        <v>373</v>
      </c>
      <c r="E24" s="3">
        <v>62</v>
      </c>
      <c r="F24" s="3">
        <v>145.80000000000001</v>
      </c>
      <c r="G24" s="1">
        <v>80.099999999999994</v>
      </c>
      <c r="H24" s="11">
        <f t="shared" si="0"/>
        <v>-65.700000000000017</v>
      </c>
      <c r="I24" s="11">
        <f t="shared" si="1"/>
        <v>-0.98059701492537343</v>
      </c>
      <c r="J24" s="11">
        <f t="shared" si="2"/>
        <v>8.8656716417910442</v>
      </c>
      <c r="K24" s="10">
        <f t="shared" si="3"/>
        <v>-10.197869101978688</v>
      </c>
      <c r="L24" s="13">
        <v>53184</v>
      </c>
      <c r="M24" s="10">
        <v>60.5</v>
      </c>
      <c r="N24" s="11">
        <f t="shared" si="4"/>
        <v>5.5671641791044779</v>
      </c>
      <c r="O24" s="3">
        <v>879</v>
      </c>
      <c r="P24" s="3">
        <v>5</v>
      </c>
      <c r="Q24" s="3">
        <v>67</v>
      </c>
      <c r="R24" s="3">
        <v>19</v>
      </c>
      <c r="S24" s="3">
        <v>10</v>
      </c>
      <c r="T24" s="3">
        <v>9</v>
      </c>
      <c r="U24" s="3">
        <v>75</v>
      </c>
      <c r="V24" s="3">
        <v>47</v>
      </c>
      <c r="W24" s="3">
        <f t="shared" si="9"/>
        <v>28</v>
      </c>
      <c r="X24" s="11">
        <f t="shared" si="6"/>
        <v>1.236842105263158</v>
      </c>
      <c r="Y24" s="11">
        <f t="shared" si="7"/>
        <v>1.9736842105263157</v>
      </c>
      <c r="Z24" s="11">
        <f t="shared" si="8"/>
        <v>50</v>
      </c>
    </row>
    <row r="25" spans="1:26" x14ac:dyDescent="0.2">
      <c r="A25" s="3" t="s">
        <v>19</v>
      </c>
      <c r="B25" s="7" t="s">
        <v>39</v>
      </c>
      <c r="C25" s="13">
        <v>218</v>
      </c>
      <c r="D25" s="3">
        <v>194</v>
      </c>
      <c r="E25" s="3">
        <v>89</v>
      </c>
      <c r="F25" s="11">
        <v>113</v>
      </c>
      <c r="G25" s="5">
        <v>54</v>
      </c>
      <c r="H25" s="11">
        <f t="shared" si="0"/>
        <v>-59</v>
      </c>
      <c r="I25" s="11">
        <f t="shared" si="1"/>
        <v>-0.96721311475409832</v>
      </c>
      <c r="J25" s="11">
        <f t="shared" si="2"/>
        <v>3.5737704918032787</v>
      </c>
      <c r="K25" s="10">
        <f t="shared" si="3"/>
        <v>-10.338983050847457</v>
      </c>
      <c r="L25" s="13">
        <v>41707</v>
      </c>
      <c r="M25" s="10">
        <v>47.5</v>
      </c>
      <c r="N25" s="11">
        <f t="shared" si="4"/>
        <v>3.180327868852459</v>
      </c>
      <c r="O25" s="3">
        <v>437</v>
      </c>
      <c r="P25" s="3">
        <v>7</v>
      </c>
      <c r="Q25" s="3">
        <v>61</v>
      </c>
      <c r="R25" s="3">
        <v>18</v>
      </c>
      <c r="S25" s="3">
        <v>7</v>
      </c>
      <c r="T25" s="3">
        <v>13</v>
      </c>
      <c r="U25" s="3">
        <v>51</v>
      </c>
      <c r="V25" s="3">
        <v>46</v>
      </c>
      <c r="W25" s="3">
        <f t="shared" si="9"/>
        <v>5</v>
      </c>
      <c r="X25" s="11">
        <f t="shared" si="6"/>
        <v>1.2105263157894737</v>
      </c>
      <c r="Y25" s="11">
        <f t="shared" si="7"/>
        <v>1.3421052631578947</v>
      </c>
      <c r="Z25" s="11">
        <f t="shared" si="8"/>
        <v>47.368421052631575</v>
      </c>
    </row>
    <row r="26" spans="1:26" x14ac:dyDescent="0.2">
      <c r="A26" s="3" t="s">
        <v>16</v>
      </c>
      <c r="B26" s="7" t="s">
        <v>39</v>
      </c>
      <c r="C26" s="13">
        <v>549</v>
      </c>
      <c r="D26" s="3">
        <v>209</v>
      </c>
      <c r="E26" s="3">
        <v>38</v>
      </c>
      <c r="F26" s="3">
        <v>179.9</v>
      </c>
      <c r="G26" s="1">
        <v>38.75</v>
      </c>
      <c r="H26" s="11">
        <f t="shared" si="0"/>
        <v>-141.15</v>
      </c>
      <c r="I26" s="11">
        <f t="shared" si="1"/>
        <v>-2.3525</v>
      </c>
      <c r="J26" s="11">
        <f t="shared" si="2"/>
        <v>9.15</v>
      </c>
      <c r="K26" s="10">
        <f t="shared" si="3"/>
        <v>-4.2507970244420825</v>
      </c>
      <c r="L26" s="13">
        <v>61585</v>
      </c>
      <c r="M26" s="10">
        <v>70</v>
      </c>
      <c r="N26" s="11">
        <f t="shared" si="4"/>
        <v>3.4833333333333334</v>
      </c>
      <c r="O26" s="3">
        <v>680.3</v>
      </c>
      <c r="P26" s="3">
        <v>8</v>
      </c>
      <c r="Q26" s="3">
        <v>60</v>
      </c>
      <c r="R26" s="3">
        <v>18</v>
      </c>
      <c r="S26" s="3">
        <v>6</v>
      </c>
      <c r="T26" s="3">
        <v>14</v>
      </c>
      <c r="U26" s="3">
        <v>70</v>
      </c>
      <c r="V26" s="3">
        <v>63</v>
      </c>
      <c r="W26" s="3">
        <f t="shared" si="9"/>
        <v>7</v>
      </c>
      <c r="X26" s="11">
        <f t="shared" si="6"/>
        <v>1.6578947368421053</v>
      </c>
      <c r="Y26" s="11">
        <f t="shared" si="7"/>
        <v>1.8421052631578947</v>
      </c>
      <c r="Z26" s="11">
        <f t="shared" si="8"/>
        <v>47.368421052631575</v>
      </c>
    </row>
    <row r="27" spans="1:26" x14ac:dyDescent="0.2">
      <c r="A27" s="3" t="s">
        <v>12</v>
      </c>
      <c r="B27" s="7" t="s">
        <v>39</v>
      </c>
      <c r="C27" s="13">
        <v>512</v>
      </c>
      <c r="D27" s="3">
        <v>404</v>
      </c>
      <c r="E27" s="3">
        <v>78</v>
      </c>
      <c r="F27" s="3">
        <v>630.25</v>
      </c>
      <c r="G27" s="1">
        <v>67.86</v>
      </c>
      <c r="H27" s="11">
        <f t="shared" si="0"/>
        <v>-562.39</v>
      </c>
      <c r="I27" s="11">
        <f t="shared" si="1"/>
        <v>-12.781590909090909</v>
      </c>
      <c r="J27" s="11">
        <f t="shared" si="2"/>
        <v>11.636363636363637</v>
      </c>
      <c r="K27" s="10">
        <f t="shared" si="3"/>
        <v>-0.78237522004303073</v>
      </c>
      <c r="L27" s="13">
        <v>40002</v>
      </c>
      <c r="M27" s="10">
        <v>45.6</v>
      </c>
      <c r="N27" s="11">
        <f t="shared" si="4"/>
        <v>9.1818181818181817</v>
      </c>
      <c r="O27" s="3">
        <v>1.02</v>
      </c>
      <c r="P27" s="3">
        <v>12</v>
      </c>
      <c r="Q27" s="3">
        <v>44</v>
      </c>
      <c r="R27" s="3">
        <v>11</v>
      </c>
      <c r="S27" s="3">
        <v>11</v>
      </c>
      <c r="T27" s="3">
        <v>16</v>
      </c>
      <c r="U27" s="3">
        <v>38</v>
      </c>
      <c r="V27" s="3">
        <v>47</v>
      </c>
      <c r="W27" s="3">
        <f t="shared" si="9"/>
        <v>-9</v>
      </c>
      <c r="X27" s="11">
        <f t="shared" si="6"/>
        <v>1.236842105263158</v>
      </c>
      <c r="Y27" s="11">
        <f t="shared" si="7"/>
        <v>1</v>
      </c>
      <c r="Z27" s="11">
        <f t="shared" si="8"/>
        <v>28.947368421052634</v>
      </c>
    </row>
    <row r="28" spans="1:26" x14ac:dyDescent="0.2">
      <c r="A28" s="3" t="s">
        <v>18</v>
      </c>
      <c r="B28" s="7" t="s">
        <v>39</v>
      </c>
      <c r="C28" s="13">
        <v>250</v>
      </c>
      <c r="D28" s="3">
        <v>187</v>
      </c>
      <c r="E28" s="3">
        <v>74</v>
      </c>
      <c r="F28" s="3">
        <v>185</v>
      </c>
      <c r="G28" s="1">
        <v>14.06</v>
      </c>
      <c r="H28" s="11">
        <f t="shared" si="0"/>
        <v>-170.94</v>
      </c>
      <c r="I28" s="11">
        <f t="shared" si="1"/>
        <v>-2.4076056338028167</v>
      </c>
      <c r="J28" s="11">
        <f t="shared" si="2"/>
        <v>3.5211267605633805</v>
      </c>
      <c r="K28" s="10">
        <f t="shared" si="3"/>
        <v>-4.1535041535041533</v>
      </c>
      <c r="L28" s="13">
        <v>52127</v>
      </c>
      <c r="M28" s="10">
        <v>59.3</v>
      </c>
      <c r="N28" s="11">
        <f t="shared" si="4"/>
        <v>2.6338028169014085</v>
      </c>
      <c r="O28" s="3">
        <v>494.3</v>
      </c>
      <c r="P28" s="3">
        <v>4</v>
      </c>
      <c r="Q28" s="3">
        <v>71</v>
      </c>
      <c r="R28" s="3">
        <v>19</v>
      </c>
      <c r="S28" s="3">
        <v>14</v>
      </c>
      <c r="T28" s="3">
        <v>5</v>
      </c>
      <c r="U28" s="3">
        <v>68</v>
      </c>
      <c r="V28" s="3">
        <v>33</v>
      </c>
      <c r="W28" s="3">
        <f t="shared" si="9"/>
        <v>35</v>
      </c>
      <c r="X28" s="11">
        <f t="shared" si="6"/>
        <v>0.86842105263157898</v>
      </c>
      <c r="Y28" s="11">
        <f t="shared" si="7"/>
        <v>1.7894736842105263</v>
      </c>
      <c r="Z28" s="11">
        <f t="shared" si="8"/>
        <v>50</v>
      </c>
    </row>
    <row r="29" spans="1:26" x14ac:dyDescent="0.2">
      <c r="A29" s="3" t="s">
        <v>15</v>
      </c>
      <c r="B29" s="7" t="s">
        <v>39</v>
      </c>
      <c r="C29" s="13">
        <v>648</v>
      </c>
      <c r="D29" s="3">
        <v>331</v>
      </c>
      <c r="E29" s="3">
        <v>51</v>
      </c>
      <c r="F29" s="3">
        <v>243.15</v>
      </c>
      <c r="G29" s="1">
        <v>23.65</v>
      </c>
      <c r="H29" s="11">
        <f t="shared" si="0"/>
        <v>-219.5</v>
      </c>
      <c r="I29" s="11">
        <f t="shared" si="1"/>
        <v>-2.9266666666666667</v>
      </c>
      <c r="J29" s="11">
        <f t="shared" si="2"/>
        <v>8.64</v>
      </c>
      <c r="K29" s="10">
        <f t="shared" si="3"/>
        <v>-3.416856492027335</v>
      </c>
      <c r="L29" s="13">
        <v>73815</v>
      </c>
      <c r="M29" s="10">
        <v>84.1</v>
      </c>
      <c r="N29" s="11">
        <f t="shared" si="4"/>
        <v>4.4133333333333331</v>
      </c>
      <c r="O29" s="3">
        <v>795.7</v>
      </c>
      <c r="P29" s="3">
        <v>3</v>
      </c>
      <c r="Q29" s="3">
        <v>75</v>
      </c>
      <c r="R29" s="3">
        <v>23</v>
      </c>
      <c r="S29" s="3">
        <v>6</v>
      </c>
      <c r="T29" s="3">
        <v>9</v>
      </c>
      <c r="U29" s="3">
        <v>88</v>
      </c>
      <c r="V29" s="3">
        <v>43</v>
      </c>
      <c r="W29" s="3">
        <f t="shared" si="9"/>
        <v>45</v>
      </c>
      <c r="X29" s="11">
        <f t="shared" si="6"/>
        <v>1.131578947368421</v>
      </c>
      <c r="Y29" s="11">
        <f t="shared" si="7"/>
        <v>2.3157894736842106</v>
      </c>
      <c r="Z29" s="11">
        <f t="shared" si="8"/>
        <v>60.526315789473685</v>
      </c>
    </row>
    <row r="30" spans="1:26" x14ac:dyDescent="0.2">
      <c r="A30" s="3" t="s">
        <v>22</v>
      </c>
      <c r="B30" s="7" t="s">
        <v>39</v>
      </c>
      <c r="C30" s="13">
        <v>237</v>
      </c>
      <c r="D30" s="3">
        <v>136</v>
      </c>
      <c r="E30" s="3">
        <v>57</v>
      </c>
      <c r="F30" s="3">
        <v>196.6</v>
      </c>
      <c r="G30" s="1">
        <v>21.55</v>
      </c>
      <c r="H30" s="11">
        <f t="shared" si="0"/>
        <v>-175.04999999999998</v>
      </c>
      <c r="I30" s="11">
        <f t="shared" si="1"/>
        <v>-4.3762499999999998</v>
      </c>
      <c r="J30" s="11">
        <f t="shared" si="2"/>
        <v>5.9249999999999998</v>
      </c>
      <c r="K30" s="10">
        <f t="shared" si="3"/>
        <v>-2.2850614110254215</v>
      </c>
      <c r="L30" s="13">
        <v>62462</v>
      </c>
      <c r="M30" s="10">
        <v>71.099999999999994</v>
      </c>
      <c r="N30" s="11">
        <f t="shared" si="4"/>
        <v>3.4</v>
      </c>
      <c r="O30" s="3">
        <v>451.5</v>
      </c>
      <c r="P30" s="3">
        <v>14</v>
      </c>
      <c r="Q30" s="3">
        <v>40</v>
      </c>
      <c r="R30" s="3">
        <v>11</v>
      </c>
      <c r="S30" s="3">
        <v>7</v>
      </c>
      <c r="T30" s="3">
        <v>20</v>
      </c>
      <c r="U30" s="3">
        <v>42</v>
      </c>
      <c r="V30" s="3">
        <v>55</v>
      </c>
      <c r="W30" s="3">
        <f t="shared" si="9"/>
        <v>-13</v>
      </c>
      <c r="X30" s="11">
        <f t="shared" si="6"/>
        <v>1.4473684210526316</v>
      </c>
      <c r="Y30" s="11">
        <f t="shared" si="7"/>
        <v>1.1052631578947369</v>
      </c>
      <c r="Z30" s="11">
        <f t="shared" si="8"/>
        <v>28.947368421052634</v>
      </c>
    </row>
    <row r="31" spans="1:26" x14ac:dyDescent="0.2">
      <c r="A31" s="3" t="s">
        <v>21</v>
      </c>
      <c r="B31" s="7" t="s">
        <v>39</v>
      </c>
      <c r="C31" s="13">
        <v>180</v>
      </c>
      <c r="D31" s="3">
        <v>131</v>
      </c>
      <c r="E31" s="3">
        <v>72</v>
      </c>
      <c r="F31" s="3">
        <v>46.6</v>
      </c>
      <c r="G31" s="1">
        <v>5.46</v>
      </c>
      <c r="H31" s="11">
        <f t="shared" si="0"/>
        <v>-41.14</v>
      </c>
      <c r="I31" s="11">
        <f t="shared" si="1"/>
        <v>-0.91422222222222227</v>
      </c>
      <c r="J31" s="11">
        <f t="shared" si="2"/>
        <v>4</v>
      </c>
      <c r="K31" s="10">
        <f t="shared" si="3"/>
        <v>-10.938259601361207</v>
      </c>
      <c r="L31" s="13">
        <v>25051</v>
      </c>
      <c r="M31" s="10">
        <v>28.6</v>
      </c>
      <c r="N31" s="11">
        <f t="shared" si="4"/>
        <v>2.911111111111111</v>
      </c>
      <c r="O31" s="3">
        <v>309.95</v>
      </c>
      <c r="P31" s="3">
        <v>11</v>
      </c>
      <c r="Q31" s="3">
        <v>45</v>
      </c>
      <c r="R31" s="3">
        <v>11</v>
      </c>
      <c r="S31" s="3">
        <v>12</v>
      </c>
      <c r="T31" s="3">
        <v>15</v>
      </c>
      <c r="U31" s="3">
        <v>40</v>
      </c>
      <c r="V31" s="3">
        <v>49</v>
      </c>
      <c r="W31" s="3">
        <f t="shared" si="9"/>
        <v>-9</v>
      </c>
      <c r="X31" s="11">
        <f t="shared" si="6"/>
        <v>1.2894736842105263</v>
      </c>
      <c r="Y31" s="11">
        <f t="shared" si="7"/>
        <v>1.0526315789473684</v>
      </c>
      <c r="Z31" s="11">
        <f t="shared" si="8"/>
        <v>28.947368421052634</v>
      </c>
    </row>
    <row r="32" spans="1:26" x14ac:dyDescent="0.2">
      <c r="A32" s="3" t="s">
        <v>17</v>
      </c>
      <c r="B32" s="7" t="s">
        <v>39</v>
      </c>
      <c r="C32" s="13">
        <v>204</v>
      </c>
      <c r="D32" s="3">
        <v>128</v>
      </c>
      <c r="E32" s="3">
        <v>62</v>
      </c>
      <c r="F32" s="3">
        <v>55.7</v>
      </c>
      <c r="G32" s="1">
        <v>138.4</v>
      </c>
      <c r="H32" s="11">
        <f t="shared" si="0"/>
        <v>82.7</v>
      </c>
      <c r="I32" s="11">
        <f t="shared" si="1"/>
        <v>1.3338709677419356</v>
      </c>
      <c r="J32" s="11">
        <f t="shared" si="2"/>
        <v>3.2903225806451615</v>
      </c>
      <c r="K32" s="10">
        <f t="shared" si="3"/>
        <v>7.4969770253929875</v>
      </c>
      <c r="L32" s="13">
        <v>31477</v>
      </c>
      <c r="M32" s="10">
        <v>35.9</v>
      </c>
      <c r="N32" s="11">
        <f t="shared" si="4"/>
        <v>2.064516129032258</v>
      </c>
      <c r="O32" s="3">
        <v>358.7</v>
      </c>
      <c r="P32" s="3">
        <v>6</v>
      </c>
      <c r="Q32" s="3">
        <v>62</v>
      </c>
      <c r="R32" s="3">
        <v>18</v>
      </c>
      <c r="S32" s="3">
        <v>8</v>
      </c>
      <c r="T32" s="3">
        <v>12</v>
      </c>
      <c r="U32" s="3">
        <v>68</v>
      </c>
      <c r="V32" s="3">
        <v>33</v>
      </c>
      <c r="W32" s="3">
        <f t="shared" si="9"/>
        <v>35</v>
      </c>
      <c r="X32" s="11">
        <f t="shared" si="6"/>
        <v>0.86842105263157898</v>
      </c>
      <c r="Y32" s="11">
        <f t="shared" si="7"/>
        <v>1.7894736842105263</v>
      </c>
      <c r="Z32" s="11">
        <f t="shared" si="8"/>
        <v>47.368421052631575</v>
      </c>
    </row>
    <row r="33" spans="1:26" x14ac:dyDescent="0.2">
      <c r="A33" s="3" t="s">
        <v>27</v>
      </c>
      <c r="B33" s="7" t="s">
        <v>39</v>
      </c>
      <c r="C33" s="13">
        <v>141</v>
      </c>
      <c r="D33" s="3">
        <v>100</v>
      </c>
      <c r="E33" s="3">
        <v>71</v>
      </c>
      <c r="F33" s="3">
        <v>91.2</v>
      </c>
      <c r="G33" s="1">
        <v>0</v>
      </c>
      <c r="H33" s="11">
        <f t="shared" si="0"/>
        <v>-91.2</v>
      </c>
      <c r="I33" s="11">
        <f t="shared" si="1"/>
        <v>-2.3384615384615386</v>
      </c>
      <c r="J33" s="11">
        <f t="shared" si="2"/>
        <v>3.6153846153846154</v>
      </c>
      <c r="K33" s="10">
        <f t="shared" si="3"/>
        <v>-4.2763157894736841</v>
      </c>
      <c r="L33" s="13">
        <v>10307</v>
      </c>
      <c r="M33" s="10">
        <v>11.7</v>
      </c>
      <c r="N33" s="11">
        <f t="shared" si="4"/>
        <v>2.5641025641025643</v>
      </c>
      <c r="O33" s="3">
        <v>243.7</v>
      </c>
      <c r="P33" s="3">
        <v>15</v>
      </c>
      <c r="Q33" s="3">
        <v>39</v>
      </c>
      <c r="R33" s="3">
        <v>11</v>
      </c>
      <c r="S33" s="3">
        <v>6</v>
      </c>
      <c r="T33" s="3">
        <v>21</v>
      </c>
      <c r="U33" s="3">
        <v>37</v>
      </c>
      <c r="V33" s="3">
        <v>71</v>
      </c>
      <c r="W33" s="3">
        <f t="shared" si="9"/>
        <v>-34</v>
      </c>
      <c r="X33" s="11">
        <f t="shared" si="6"/>
        <v>1.868421052631579</v>
      </c>
      <c r="Y33" s="11">
        <f t="shared" si="7"/>
        <v>0.97368421052631582</v>
      </c>
      <c r="Z33" s="11">
        <f t="shared" si="8"/>
        <v>28.947368421052634</v>
      </c>
    </row>
    <row r="34" spans="1:26" x14ac:dyDescent="0.2">
      <c r="A34" s="3" t="s">
        <v>24</v>
      </c>
      <c r="B34" s="7" t="s">
        <v>39</v>
      </c>
      <c r="C34" s="13">
        <v>182</v>
      </c>
      <c r="D34" s="3">
        <v>139</v>
      </c>
      <c r="E34" s="3">
        <v>76</v>
      </c>
      <c r="F34" s="3">
        <v>76.099999999999994</v>
      </c>
      <c r="G34" s="1">
        <v>25.4</v>
      </c>
      <c r="H34" s="11">
        <f t="shared" ref="H34:H61" si="10">G34-F34</f>
        <v>-50.699999999999996</v>
      </c>
      <c r="I34" s="11">
        <f t="shared" ref="I34:I61" si="11">H34/Q34</f>
        <v>-0.97499999999999987</v>
      </c>
      <c r="J34" s="11">
        <f t="shared" ref="J34:J61" si="12">C34/Q34</f>
        <v>3.5</v>
      </c>
      <c r="K34" s="10">
        <f t="shared" ref="K34:K61" si="13">IF(H34&lt;&gt;0, Q34/ (H34/10), 0)</f>
        <v>-10.256410256410257</v>
      </c>
      <c r="L34" s="13">
        <v>23766</v>
      </c>
      <c r="M34" s="10">
        <v>27.1</v>
      </c>
      <c r="N34" s="11">
        <f t="shared" ref="N34:N61" si="14">D34/Q34</f>
        <v>2.6730769230769229</v>
      </c>
      <c r="O34" s="3">
        <v>253.5</v>
      </c>
      <c r="P34" s="3">
        <v>10</v>
      </c>
      <c r="Q34" s="3">
        <v>52</v>
      </c>
      <c r="R34" s="3">
        <v>15</v>
      </c>
      <c r="S34" s="3">
        <v>7</v>
      </c>
      <c r="T34" s="3">
        <v>16</v>
      </c>
      <c r="U34" s="3">
        <v>55</v>
      </c>
      <c r="V34" s="3">
        <v>53</v>
      </c>
      <c r="W34" s="3">
        <f t="shared" si="9"/>
        <v>2</v>
      </c>
      <c r="X34" s="11">
        <f t="shared" si="6"/>
        <v>1.3947368421052631</v>
      </c>
      <c r="Y34" s="11">
        <f t="shared" si="7"/>
        <v>1.4473684210526316</v>
      </c>
      <c r="Z34" s="11">
        <f t="shared" si="8"/>
        <v>39.473684210526315</v>
      </c>
    </row>
    <row r="35" spans="1:26" x14ac:dyDescent="0.2">
      <c r="A35" s="3" t="s">
        <v>25</v>
      </c>
      <c r="B35" s="7" t="s">
        <v>39</v>
      </c>
      <c r="C35" s="13">
        <v>168</v>
      </c>
      <c r="D35" s="3">
        <v>142</v>
      </c>
      <c r="E35" s="3">
        <v>84</v>
      </c>
      <c r="F35" s="3">
        <v>179.51</v>
      </c>
      <c r="G35" s="1">
        <v>64.87</v>
      </c>
      <c r="H35" s="11">
        <f t="shared" si="10"/>
        <v>-114.63999999999999</v>
      </c>
      <c r="I35" s="11">
        <f t="shared" si="11"/>
        <v>-2.7960975609756096</v>
      </c>
      <c r="J35" s="11">
        <f t="shared" si="12"/>
        <v>4.0975609756097562</v>
      </c>
      <c r="K35" s="10">
        <f t="shared" si="13"/>
        <v>-3.576413119330077</v>
      </c>
      <c r="L35" s="13">
        <v>31423</v>
      </c>
      <c r="M35" s="10">
        <v>35.9</v>
      </c>
      <c r="N35" s="11">
        <f t="shared" si="14"/>
        <v>3.4634146341463414</v>
      </c>
      <c r="O35" s="3">
        <v>398.7</v>
      </c>
      <c r="P35" s="3">
        <v>13</v>
      </c>
      <c r="Q35" s="3">
        <v>41</v>
      </c>
      <c r="R35" s="3">
        <v>11</v>
      </c>
      <c r="S35" s="3">
        <v>8</v>
      </c>
      <c r="T35" s="3">
        <v>19</v>
      </c>
      <c r="U35" s="3">
        <v>31</v>
      </c>
      <c r="V35" s="3">
        <v>58</v>
      </c>
      <c r="W35" s="3">
        <f t="shared" si="9"/>
        <v>-27</v>
      </c>
      <c r="X35" s="11">
        <f t="shared" si="6"/>
        <v>1.5263157894736843</v>
      </c>
      <c r="Y35" s="11">
        <f t="shared" si="7"/>
        <v>0.81578947368421051</v>
      </c>
      <c r="Z35" s="11">
        <f t="shared" si="8"/>
        <v>28.947368421052634</v>
      </c>
    </row>
    <row r="36" spans="1:26" x14ac:dyDescent="0.2">
      <c r="A36" s="3" t="s">
        <v>23</v>
      </c>
      <c r="B36" s="7" t="s">
        <v>39</v>
      </c>
      <c r="C36" s="13">
        <v>172</v>
      </c>
      <c r="D36" s="3">
        <v>157</v>
      </c>
      <c r="E36" s="3">
        <v>91</v>
      </c>
      <c r="F36" s="3">
        <v>83.07</v>
      </c>
      <c r="G36" s="1">
        <v>103.6</v>
      </c>
      <c r="H36" s="11">
        <f t="shared" si="10"/>
        <v>20.53</v>
      </c>
      <c r="I36" s="11">
        <f t="shared" si="11"/>
        <v>0.57027777777777777</v>
      </c>
      <c r="J36" s="11">
        <f t="shared" si="12"/>
        <v>4.7777777777777777</v>
      </c>
      <c r="K36" s="10">
        <f t="shared" si="13"/>
        <v>17.535314174378957</v>
      </c>
      <c r="L36" s="13">
        <v>39241</v>
      </c>
      <c r="M36" s="10">
        <v>44.7</v>
      </c>
      <c r="N36" s="11">
        <f t="shared" si="14"/>
        <v>4.3611111111111107</v>
      </c>
      <c r="O36" s="3">
        <v>352.9</v>
      </c>
      <c r="P36" s="3">
        <v>17</v>
      </c>
      <c r="Q36" s="3">
        <v>36</v>
      </c>
      <c r="R36" s="3">
        <v>8</v>
      </c>
      <c r="S36" s="3">
        <v>12</v>
      </c>
      <c r="T36" s="3">
        <v>18</v>
      </c>
      <c r="U36" s="3">
        <v>34</v>
      </c>
      <c r="V36" s="3">
        <v>57</v>
      </c>
      <c r="W36" s="3">
        <f t="shared" si="9"/>
        <v>-23</v>
      </c>
      <c r="X36" s="11">
        <f t="shared" si="6"/>
        <v>1.5</v>
      </c>
      <c r="Y36" s="11">
        <f t="shared" si="7"/>
        <v>0.89473684210526316</v>
      </c>
      <c r="Z36" s="11">
        <f t="shared" si="8"/>
        <v>21.052631578947366</v>
      </c>
    </row>
    <row r="37" spans="1:26" x14ac:dyDescent="0.2">
      <c r="A37" s="3" t="s">
        <v>26</v>
      </c>
      <c r="B37" s="7" t="s">
        <v>39</v>
      </c>
      <c r="C37" s="13">
        <v>166</v>
      </c>
      <c r="D37" s="3">
        <v>99</v>
      </c>
      <c r="E37" s="3">
        <v>59</v>
      </c>
      <c r="F37" s="3">
        <v>49.25</v>
      </c>
      <c r="G37" s="1">
        <v>3.6</v>
      </c>
      <c r="H37" s="11">
        <f t="shared" si="10"/>
        <v>-45.65</v>
      </c>
      <c r="I37" s="11">
        <f t="shared" si="11"/>
        <v>-0.77372881355932199</v>
      </c>
      <c r="J37" s="11">
        <f t="shared" si="12"/>
        <v>2.8135593220338984</v>
      </c>
      <c r="K37" s="10">
        <f t="shared" si="13"/>
        <v>-12.924424972617745</v>
      </c>
      <c r="L37" s="13">
        <v>17080</v>
      </c>
      <c r="M37" s="10">
        <v>19.5</v>
      </c>
      <c r="N37" s="11">
        <f t="shared" si="14"/>
        <v>1.6779661016949152</v>
      </c>
      <c r="O37" s="3">
        <v>318.10000000000002</v>
      </c>
      <c r="P37" s="3">
        <v>9</v>
      </c>
      <c r="Q37" s="3">
        <v>59</v>
      </c>
      <c r="R37" s="3">
        <v>15</v>
      </c>
      <c r="S37" s="3">
        <v>14</v>
      </c>
      <c r="T37" s="3">
        <v>9</v>
      </c>
      <c r="U37" s="3">
        <v>58</v>
      </c>
      <c r="V37" s="3">
        <v>46</v>
      </c>
      <c r="W37" s="3">
        <f t="shared" si="9"/>
        <v>12</v>
      </c>
      <c r="X37" s="11">
        <f t="shared" si="6"/>
        <v>1.2105263157894737</v>
      </c>
      <c r="Y37" s="11">
        <f t="shared" si="7"/>
        <v>1.5263157894736843</v>
      </c>
      <c r="Z37" s="11">
        <f t="shared" si="8"/>
        <v>39.473684210526315</v>
      </c>
    </row>
    <row r="38" spans="1:26" x14ac:dyDescent="0.2">
      <c r="A38" s="3" t="s">
        <v>20</v>
      </c>
      <c r="B38" s="7" t="s">
        <v>39</v>
      </c>
      <c r="C38" s="13">
        <v>154</v>
      </c>
      <c r="D38" s="3">
        <v>145</v>
      </c>
      <c r="E38" s="3">
        <v>93</v>
      </c>
      <c r="F38" s="3">
        <v>198.35</v>
      </c>
      <c r="G38" s="1">
        <v>5</v>
      </c>
      <c r="H38" s="11">
        <f t="shared" si="10"/>
        <v>-193.35</v>
      </c>
      <c r="I38" s="11">
        <f t="shared" si="11"/>
        <v>-5.0881578947368418</v>
      </c>
      <c r="J38" s="11">
        <f t="shared" si="12"/>
        <v>4.0526315789473681</v>
      </c>
      <c r="K38" s="10">
        <f t="shared" si="13"/>
        <v>-1.9653478148435479</v>
      </c>
      <c r="L38" s="13">
        <v>29188</v>
      </c>
      <c r="M38" s="10">
        <v>33.299999999999997</v>
      </c>
      <c r="N38" s="11">
        <f t="shared" si="14"/>
        <v>3.8157894736842106</v>
      </c>
      <c r="O38" s="3">
        <v>332.65</v>
      </c>
      <c r="P38" s="3">
        <v>16</v>
      </c>
      <c r="Q38" s="3">
        <v>38</v>
      </c>
      <c r="R38" s="3">
        <v>9</v>
      </c>
      <c r="S38" s="3">
        <v>11</v>
      </c>
      <c r="T38" s="3">
        <v>18</v>
      </c>
      <c r="U38" s="3">
        <v>38</v>
      </c>
      <c r="V38" s="3">
        <v>60</v>
      </c>
      <c r="W38" s="3">
        <f t="shared" si="9"/>
        <v>-22</v>
      </c>
      <c r="X38" s="11">
        <f t="shared" si="6"/>
        <v>1.5789473684210527</v>
      </c>
      <c r="Y38" s="11">
        <f t="shared" si="7"/>
        <v>1</v>
      </c>
      <c r="Z38" s="11">
        <f t="shared" si="8"/>
        <v>23.684210526315788</v>
      </c>
    </row>
    <row r="39" spans="1:26" x14ac:dyDescent="0.2">
      <c r="A39" s="3" t="s">
        <v>43</v>
      </c>
      <c r="B39" s="7" t="s">
        <v>39</v>
      </c>
      <c r="C39" s="13">
        <v>177</v>
      </c>
      <c r="D39" s="3">
        <v>206</v>
      </c>
      <c r="E39" s="3">
        <v>116</v>
      </c>
      <c r="F39" s="3">
        <v>49</v>
      </c>
      <c r="G39" s="1">
        <v>81.400000000000006</v>
      </c>
      <c r="H39" s="11">
        <f t="shared" si="10"/>
        <v>32.400000000000006</v>
      </c>
      <c r="I39" s="11">
        <f t="shared" si="11"/>
        <v>0.9529411764705884</v>
      </c>
      <c r="J39" s="11">
        <f t="shared" si="12"/>
        <v>5.2058823529411766</v>
      </c>
      <c r="K39" s="10">
        <f t="shared" si="13"/>
        <v>10.493827160493826</v>
      </c>
      <c r="L39" s="13">
        <v>31887</v>
      </c>
      <c r="M39" s="10">
        <v>36.299999999999997</v>
      </c>
      <c r="N39" s="11">
        <f t="shared" si="14"/>
        <v>6.0588235294117645</v>
      </c>
      <c r="O39" s="3">
        <v>237.9</v>
      </c>
      <c r="P39" s="3">
        <v>18</v>
      </c>
      <c r="Q39" s="3">
        <v>34</v>
      </c>
      <c r="R39" s="3">
        <v>9</v>
      </c>
      <c r="S39" s="3">
        <v>7</v>
      </c>
      <c r="T39" s="3">
        <v>22</v>
      </c>
      <c r="U39" s="3">
        <v>51</v>
      </c>
      <c r="V39" s="3">
        <v>68</v>
      </c>
      <c r="W39" s="3">
        <f t="shared" si="9"/>
        <v>-17</v>
      </c>
      <c r="X39" s="11">
        <f t="shared" si="6"/>
        <v>1.7894736842105263</v>
      </c>
      <c r="Y39" s="11">
        <f t="shared" si="7"/>
        <v>1.3421052631578947</v>
      </c>
      <c r="Z39" s="11">
        <f t="shared" si="8"/>
        <v>23.684210526315788</v>
      </c>
    </row>
    <row r="40" spans="1:26" x14ac:dyDescent="0.2">
      <c r="A40" s="3" t="s">
        <v>42</v>
      </c>
      <c r="B40" s="7" t="s">
        <v>39</v>
      </c>
      <c r="C40" s="13">
        <v>190</v>
      </c>
      <c r="D40" s="3">
        <v>146</v>
      </c>
      <c r="E40" s="3">
        <v>76</v>
      </c>
      <c r="F40" s="3">
        <v>163.89</v>
      </c>
      <c r="G40" s="1">
        <v>114.4</v>
      </c>
      <c r="H40" s="11">
        <f t="shared" si="10"/>
        <v>-49.489999999999981</v>
      </c>
      <c r="I40" s="11">
        <f t="shared" si="11"/>
        <v>-1.5964516129032251</v>
      </c>
      <c r="J40" s="11">
        <f t="shared" si="12"/>
        <v>6.129032258064516</v>
      </c>
      <c r="K40" s="10">
        <f t="shared" si="13"/>
        <v>-6.2638916952919805</v>
      </c>
      <c r="L40" s="13">
        <v>36566</v>
      </c>
      <c r="M40" s="10">
        <v>41.7</v>
      </c>
      <c r="N40" s="11">
        <f t="shared" si="14"/>
        <v>4.709677419354839</v>
      </c>
      <c r="O40" s="3">
        <v>318</v>
      </c>
      <c r="P40" s="3">
        <v>19</v>
      </c>
      <c r="Q40" s="3">
        <v>31</v>
      </c>
      <c r="R40" s="3">
        <v>7</v>
      </c>
      <c r="S40" s="3">
        <v>10</v>
      </c>
      <c r="T40" s="3">
        <v>21</v>
      </c>
      <c r="U40" s="3">
        <v>48</v>
      </c>
      <c r="V40" s="3">
        <v>78</v>
      </c>
      <c r="W40" s="3">
        <f t="shared" si="9"/>
        <v>-30</v>
      </c>
      <c r="X40" s="11">
        <f t="shared" si="6"/>
        <v>2.0526315789473686</v>
      </c>
      <c r="Y40" s="11">
        <f t="shared" si="7"/>
        <v>1.263157894736842</v>
      </c>
      <c r="Z40" s="11">
        <f t="shared" si="8"/>
        <v>18.421052631578945</v>
      </c>
    </row>
    <row r="41" spans="1:26" x14ac:dyDescent="0.2">
      <c r="A41" s="3" t="s">
        <v>41</v>
      </c>
      <c r="B41" s="7" t="s">
        <v>39</v>
      </c>
      <c r="C41" s="13">
        <v>146</v>
      </c>
      <c r="D41" s="3">
        <v>122</v>
      </c>
      <c r="E41" s="3">
        <v>83</v>
      </c>
      <c r="F41" s="3">
        <v>154.21</v>
      </c>
      <c r="G41" s="1">
        <v>5.5</v>
      </c>
      <c r="H41" s="11">
        <f t="shared" si="10"/>
        <v>-148.71</v>
      </c>
      <c r="I41" s="11">
        <f t="shared" si="11"/>
        <v>-5.9484000000000004</v>
      </c>
      <c r="J41" s="11">
        <f t="shared" si="12"/>
        <v>5.84</v>
      </c>
      <c r="K41" s="10">
        <f t="shared" si="13"/>
        <v>-1.6811243359558872</v>
      </c>
      <c r="L41" s="13">
        <v>30416</v>
      </c>
      <c r="M41" s="10">
        <v>34.6</v>
      </c>
      <c r="N41" s="11">
        <f t="shared" si="14"/>
        <v>4.88</v>
      </c>
      <c r="O41" s="3">
        <v>203.25</v>
      </c>
      <c r="P41" s="3">
        <v>20</v>
      </c>
      <c r="Q41" s="3">
        <v>25</v>
      </c>
      <c r="R41" s="3">
        <v>6</v>
      </c>
      <c r="S41" s="3">
        <v>7</v>
      </c>
      <c r="T41" s="3">
        <v>25</v>
      </c>
      <c r="U41" s="3">
        <v>36</v>
      </c>
      <c r="V41" s="3">
        <v>73</v>
      </c>
      <c r="W41" s="3">
        <f t="shared" si="9"/>
        <v>-37</v>
      </c>
      <c r="X41" s="11">
        <f t="shared" si="6"/>
        <v>1.9210526315789473</v>
      </c>
      <c r="Y41" s="11">
        <f t="shared" si="7"/>
        <v>0.94736842105263153</v>
      </c>
      <c r="Z41" s="11">
        <f t="shared" si="8"/>
        <v>15.789473684210526</v>
      </c>
    </row>
    <row r="42" spans="1:26" x14ac:dyDescent="0.2">
      <c r="A42" s="3" t="s">
        <v>11</v>
      </c>
      <c r="B42" s="8" t="s">
        <v>40</v>
      </c>
      <c r="C42" s="13">
        <v>613</v>
      </c>
      <c r="D42" s="3">
        <v>354</v>
      </c>
      <c r="E42" s="3">
        <v>57</v>
      </c>
      <c r="F42" s="3">
        <v>138.9</v>
      </c>
      <c r="G42" s="1">
        <v>93.8</v>
      </c>
      <c r="H42" s="11">
        <f t="shared" si="10"/>
        <v>-45.100000000000009</v>
      </c>
      <c r="I42" s="11">
        <f t="shared" si="11"/>
        <v>-0.48494623655913988</v>
      </c>
      <c r="J42" s="11">
        <f t="shared" si="12"/>
        <v>6.591397849462366</v>
      </c>
      <c r="K42" s="10">
        <f t="shared" si="13"/>
        <v>-20.620842572062081</v>
      </c>
      <c r="L42" s="13">
        <v>52739</v>
      </c>
      <c r="M42" s="10">
        <v>60</v>
      </c>
      <c r="N42" s="11">
        <f t="shared" si="14"/>
        <v>3.806451612903226</v>
      </c>
      <c r="O42" s="3">
        <v>959.3</v>
      </c>
      <c r="P42" s="3">
        <v>1</v>
      </c>
      <c r="Q42" s="3">
        <v>93</v>
      </c>
      <c r="R42" s="3">
        <v>29</v>
      </c>
      <c r="S42" s="3">
        <v>6</v>
      </c>
      <c r="T42" s="3">
        <v>3</v>
      </c>
      <c r="U42" s="3">
        <v>99</v>
      </c>
      <c r="V42" s="3">
        <v>26</v>
      </c>
      <c r="W42" s="3">
        <f t="shared" si="9"/>
        <v>73</v>
      </c>
      <c r="X42" s="11">
        <f t="shared" si="6"/>
        <v>0.68421052631578949</v>
      </c>
      <c r="Y42" s="11">
        <f t="shared" si="7"/>
        <v>2.6052631578947367</v>
      </c>
      <c r="Z42" s="11">
        <f t="shared" si="8"/>
        <v>76.31578947368422</v>
      </c>
    </row>
    <row r="43" spans="1:26" x14ac:dyDescent="0.2">
      <c r="A43" s="3" t="s">
        <v>13</v>
      </c>
      <c r="B43" s="8" t="s">
        <v>40</v>
      </c>
      <c r="C43" s="13">
        <v>369</v>
      </c>
      <c r="D43" s="3">
        <v>212</v>
      </c>
      <c r="E43" s="3">
        <v>57</v>
      </c>
      <c r="F43" s="3">
        <v>167.4</v>
      </c>
      <c r="G43" s="1">
        <v>31.4</v>
      </c>
      <c r="H43" s="11">
        <f t="shared" si="10"/>
        <v>-136</v>
      </c>
      <c r="I43" s="11">
        <f t="shared" si="11"/>
        <v>-1.9710144927536233</v>
      </c>
      <c r="J43" s="11">
        <f t="shared" si="12"/>
        <v>5.3478260869565215</v>
      </c>
      <c r="K43" s="10">
        <f t="shared" si="13"/>
        <v>-5.0735294117647056</v>
      </c>
      <c r="L43" s="13">
        <v>59776</v>
      </c>
      <c r="M43" s="10">
        <v>68.099999999999994</v>
      </c>
      <c r="N43" s="11">
        <f t="shared" si="14"/>
        <v>3.0724637681159419</v>
      </c>
      <c r="O43" s="3">
        <v>521</v>
      </c>
      <c r="P43" s="3">
        <v>5</v>
      </c>
      <c r="Q43" s="3">
        <v>69</v>
      </c>
      <c r="R43" s="3">
        <v>22</v>
      </c>
      <c r="S43" s="3">
        <v>3</v>
      </c>
      <c r="T43" s="3">
        <v>13</v>
      </c>
      <c r="U43" s="3">
        <v>61</v>
      </c>
      <c r="V43" s="3">
        <v>48</v>
      </c>
      <c r="W43" s="3">
        <f t="shared" si="9"/>
        <v>13</v>
      </c>
      <c r="X43" s="11">
        <f t="shared" si="6"/>
        <v>1.263157894736842</v>
      </c>
      <c r="Y43" s="11">
        <f t="shared" si="7"/>
        <v>1.6052631578947369</v>
      </c>
      <c r="Z43" s="11">
        <f t="shared" si="8"/>
        <v>57.894736842105267</v>
      </c>
    </row>
    <row r="44" spans="1:26" x14ac:dyDescent="0.2">
      <c r="A44" s="3" t="s">
        <v>14</v>
      </c>
      <c r="B44" s="8" t="s">
        <v>40</v>
      </c>
      <c r="C44" s="13">
        <v>594</v>
      </c>
      <c r="D44" s="3">
        <v>366</v>
      </c>
      <c r="E44" s="3">
        <v>61</v>
      </c>
      <c r="F44" s="3">
        <v>89</v>
      </c>
      <c r="G44" s="1">
        <v>31.65</v>
      </c>
      <c r="H44" s="11">
        <f t="shared" si="10"/>
        <v>-57.35</v>
      </c>
      <c r="I44" s="11">
        <f t="shared" si="11"/>
        <v>-0.62336956521739129</v>
      </c>
      <c r="J44" s="11">
        <f t="shared" si="12"/>
        <v>6.4565217391304346</v>
      </c>
      <c r="K44" s="10">
        <f t="shared" si="13"/>
        <v>-16.041848299912814</v>
      </c>
      <c r="L44" s="13">
        <v>53027</v>
      </c>
      <c r="M44" s="10">
        <v>60.4</v>
      </c>
      <c r="N44" s="11">
        <f t="shared" si="14"/>
        <v>3.9782608695652173</v>
      </c>
      <c r="O44" s="3">
        <v>900.5</v>
      </c>
      <c r="P44" s="3">
        <v>2</v>
      </c>
      <c r="Q44" s="3">
        <v>92</v>
      </c>
      <c r="R44" s="3">
        <v>28</v>
      </c>
      <c r="S44" s="3">
        <v>8</v>
      </c>
      <c r="T44" s="3">
        <v>2</v>
      </c>
      <c r="U44" s="3">
        <v>94</v>
      </c>
      <c r="V44" s="3">
        <v>26</v>
      </c>
      <c r="W44" s="3">
        <f t="shared" si="9"/>
        <v>68</v>
      </c>
      <c r="X44" s="11">
        <f t="shared" si="6"/>
        <v>0.68421052631578949</v>
      </c>
      <c r="Y44" s="11">
        <f t="shared" si="7"/>
        <v>2.4736842105263159</v>
      </c>
      <c r="Z44" s="11">
        <f t="shared" si="8"/>
        <v>73.68421052631578</v>
      </c>
    </row>
    <row r="45" spans="1:26" x14ac:dyDescent="0.2">
      <c r="A45" s="3" t="s">
        <v>19</v>
      </c>
      <c r="B45" s="8" t="s">
        <v>40</v>
      </c>
      <c r="C45" s="13">
        <v>178</v>
      </c>
      <c r="D45" s="3">
        <v>137</v>
      </c>
      <c r="E45" s="3">
        <v>77</v>
      </c>
      <c r="F45" s="3">
        <v>129.80000000000001</v>
      </c>
      <c r="G45" s="1">
        <v>127</v>
      </c>
      <c r="H45" s="11">
        <f t="shared" si="10"/>
        <v>-2.8000000000000114</v>
      </c>
      <c r="I45" s="11">
        <f t="shared" si="11"/>
        <v>-6.2222222222222477E-2</v>
      </c>
      <c r="J45" s="11">
        <f t="shared" si="12"/>
        <v>3.9555555555555557</v>
      </c>
      <c r="K45" s="10">
        <f t="shared" si="13"/>
        <v>-160.71428571428507</v>
      </c>
      <c r="L45" s="13">
        <v>41681</v>
      </c>
      <c r="M45" s="10">
        <v>47.5</v>
      </c>
      <c r="N45" s="11">
        <f t="shared" si="14"/>
        <v>3.0444444444444443</v>
      </c>
      <c r="O45" s="3">
        <v>433.5</v>
      </c>
      <c r="P45" s="3">
        <v>14</v>
      </c>
      <c r="Q45" s="3">
        <v>45</v>
      </c>
      <c r="R45" s="3">
        <v>13</v>
      </c>
      <c r="S45" s="3">
        <v>6</v>
      </c>
      <c r="T45" s="3">
        <v>19</v>
      </c>
      <c r="U45" s="3">
        <v>52</v>
      </c>
      <c r="V45" s="3">
        <v>54</v>
      </c>
      <c r="W45" s="3">
        <f t="shared" si="9"/>
        <v>-2</v>
      </c>
      <c r="X45" s="11">
        <f t="shared" si="6"/>
        <v>1.4210526315789473</v>
      </c>
      <c r="Y45" s="11">
        <f t="shared" si="7"/>
        <v>1.368421052631579</v>
      </c>
      <c r="Z45" s="11">
        <f t="shared" si="8"/>
        <v>34.210526315789473</v>
      </c>
    </row>
    <row r="46" spans="1:26" x14ac:dyDescent="0.2">
      <c r="A46" s="3" t="s">
        <v>16</v>
      </c>
      <c r="B46" s="8" t="s">
        <v>40</v>
      </c>
      <c r="C46" s="13">
        <v>444</v>
      </c>
      <c r="D46" s="3">
        <v>209</v>
      </c>
      <c r="E46" s="3">
        <v>47</v>
      </c>
      <c r="F46" s="3">
        <v>95.9</v>
      </c>
      <c r="G46" s="1">
        <v>34.619999999999997</v>
      </c>
      <c r="H46" s="11">
        <f t="shared" si="10"/>
        <v>-61.280000000000008</v>
      </c>
      <c r="I46" s="11">
        <f t="shared" si="11"/>
        <v>-0.86309859154929591</v>
      </c>
      <c r="J46" s="11">
        <f t="shared" si="12"/>
        <v>6.253521126760563</v>
      </c>
      <c r="K46" s="10">
        <f t="shared" si="13"/>
        <v>-11.58616187989556</v>
      </c>
      <c r="L46" s="13">
        <v>58146</v>
      </c>
      <c r="M46" s="10">
        <v>66.3</v>
      </c>
      <c r="N46" s="11">
        <f t="shared" si="14"/>
        <v>2.943661971830986</v>
      </c>
      <c r="O46" s="3">
        <v>587.25</v>
      </c>
      <c r="P46" s="3">
        <v>4</v>
      </c>
      <c r="Q46" s="3">
        <v>71</v>
      </c>
      <c r="R46" s="3">
        <v>22</v>
      </c>
      <c r="S46" s="3">
        <v>5</v>
      </c>
      <c r="T46" s="3">
        <v>11</v>
      </c>
      <c r="U46" s="3">
        <v>69</v>
      </c>
      <c r="V46" s="3">
        <v>40</v>
      </c>
      <c r="W46" s="3">
        <f t="shared" si="9"/>
        <v>29</v>
      </c>
      <c r="X46" s="11">
        <f t="shared" si="6"/>
        <v>1.0526315789473684</v>
      </c>
      <c r="Y46" s="11">
        <f t="shared" si="7"/>
        <v>1.8157894736842106</v>
      </c>
      <c r="Z46" s="11">
        <f t="shared" si="8"/>
        <v>57.894736842105267</v>
      </c>
    </row>
    <row r="47" spans="1:26" x14ac:dyDescent="0.2">
      <c r="A47" s="3" t="s">
        <v>12</v>
      </c>
      <c r="B47" s="8" t="s">
        <v>40</v>
      </c>
      <c r="C47" s="13">
        <v>481</v>
      </c>
      <c r="D47" s="3">
        <v>340</v>
      </c>
      <c r="E47" s="3">
        <v>70</v>
      </c>
      <c r="F47" s="3">
        <v>118</v>
      </c>
      <c r="G47" s="1">
        <v>157.59</v>
      </c>
      <c r="H47" s="11">
        <f t="shared" si="10"/>
        <v>39.590000000000003</v>
      </c>
      <c r="I47" s="11">
        <f t="shared" si="11"/>
        <v>0.53500000000000003</v>
      </c>
      <c r="J47" s="11">
        <f t="shared" si="12"/>
        <v>6.5</v>
      </c>
      <c r="K47" s="10">
        <f t="shared" si="13"/>
        <v>18.691588785046726</v>
      </c>
      <c r="L47" s="13">
        <v>32249</v>
      </c>
      <c r="M47" s="10">
        <v>36.700000000000003</v>
      </c>
      <c r="N47" s="11">
        <f t="shared" si="14"/>
        <v>4.5945945945945947</v>
      </c>
      <c r="O47" s="3">
        <v>852</v>
      </c>
      <c r="P47" s="3">
        <v>3</v>
      </c>
      <c r="Q47" s="3">
        <v>74</v>
      </c>
      <c r="R47" s="3">
        <v>22</v>
      </c>
      <c r="S47" s="3">
        <v>11</v>
      </c>
      <c r="T47" s="3">
        <v>6</v>
      </c>
      <c r="U47" s="3">
        <v>76</v>
      </c>
      <c r="V47" s="3">
        <v>33</v>
      </c>
      <c r="W47" s="3">
        <f t="shared" si="9"/>
        <v>43</v>
      </c>
      <c r="X47" s="11">
        <f t="shared" si="6"/>
        <v>0.86842105263157898</v>
      </c>
      <c r="Y47" s="11">
        <f t="shared" si="7"/>
        <v>2</v>
      </c>
      <c r="Z47" s="11">
        <f t="shared" si="8"/>
        <v>57.894736842105267</v>
      </c>
    </row>
    <row r="48" spans="1:26" x14ac:dyDescent="0.2">
      <c r="A48" s="3" t="s">
        <v>18</v>
      </c>
      <c r="B48" s="8" t="s">
        <v>40</v>
      </c>
      <c r="C48" s="13">
        <v>180</v>
      </c>
      <c r="D48" s="3">
        <v>170</v>
      </c>
      <c r="E48" s="3">
        <v>94</v>
      </c>
      <c r="F48" s="3">
        <v>130.5</v>
      </c>
      <c r="G48" s="1">
        <v>0</v>
      </c>
      <c r="H48" s="11">
        <f t="shared" si="10"/>
        <v>-130.5</v>
      </c>
      <c r="I48" s="11">
        <f t="shared" si="11"/>
        <v>-2.6632653061224492</v>
      </c>
      <c r="J48" s="11">
        <f t="shared" si="12"/>
        <v>3.6734693877551021</v>
      </c>
      <c r="K48" s="10">
        <f t="shared" si="13"/>
        <v>-3.754789272030651</v>
      </c>
      <c r="L48" s="13">
        <v>51106</v>
      </c>
      <c r="M48" s="10">
        <v>58.3</v>
      </c>
      <c r="N48" s="11">
        <f t="shared" si="14"/>
        <v>3.4693877551020407</v>
      </c>
      <c r="O48" s="3">
        <v>290.89999999999998</v>
      </c>
      <c r="P48" s="3">
        <v>11</v>
      </c>
      <c r="Q48" s="3">
        <v>49</v>
      </c>
      <c r="R48" s="3">
        <v>13</v>
      </c>
      <c r="S48" s="3">
        <v>10</v>
      </c>
      <c r="T48" s="3">
        <v>15</v>
      </c>
      <c r="U48" s="3">
        <v>44</v>
      </c>
      <c r="V48" s="3">
        <v>62</v>
      </c>
      <c r="W48" s="3">
        <f t="shared" si="9"/>
        <v>-18</v>
      </c>
      <c r="X48" s="11">
        <f t="shared" si="6"/>
        <v>1.631578947368421</v>
      </c>
      <c r="Y48" s="11">
        <f t="shared" si="7"/>
        <v>1.1578947368421053</v>
      </c>
      <c r="Z48" s="11">
        <f t="shared" si="8"/>
        <v>34.210526315789473</v>
      </c>
    </row>
    <row r="49" spans="1:26" x14ac:dyDescent="0.2">
      <c r="A49" s="3" t="s">
        <v>15</v>
      </c>
      <c r="B49" s="8" t="s">
        <v>40</v>
      </c>
      <c r="C49" s="13">
        <v>583</v>
      </c>
      <c r="D49" s="3">
        <v>384</v>
      </c>
      <c r="E49" s="3">
        <v>65</v>
      </c>
      <c r="F49" s="3">
        <v>142</v>
      </c>
      <c r="G49" s="1">
        <v>31.1</v>
      </c>
      <c r="H49" s="11">
        <f t="shared" si="10"/>
        <v>-110.9</v>
      </c>
      <c r="I49" s="11">
        <f t="shared" si="11"/>
        <v>-1.9120689655172414</v>
      </c>
      <c r="J49" s="11">
        <f t="shared" si="12"/>
        <v>10.051724137931034</v>
      </c>
      <c r="K49" s="10">
        <f t="shared" si="13"/>
        <v>-5.2299368800721373</v>
      </c>
      <c r="L49" s="13">
        <v>72992</v>
      </c>
      <c r="M49" s="10">
        <v>83.2</v>
      </c>
      <c r="N49" s="11">
        <f t="shared" si="14"/>
        <v>6.6206896551724137</v>
      </c>
      <c r="O49" s="3">
        <v>721.25</v>
      </c>
      <c r="P49" s="3">
        <v>6</v>
      </c>
      <c r="Q49" s="3">
        <v>58</v>
      </c>
      <c r="R49" s="3">
        <v>16</v>
      </c>
      <c r="S49" s="3">
        <v>10</v>
      </c>
      <c r="T49" s="3">
        <v>12</v>
      </c>
      <c r="U49" s="3">
        <v>57</v>
      </c>
      <c r="V49" s="3">
        <v>57</v>
      </c>
      <c r="W49" s="3">
        <f t="shared" si="9"/>
        <v>0</v>
      </c>
      <c r="X49" s="11">
        <f t="shared" si="6"/>
        <v>1.5</v>
      </c>
      <c r="Y49" s="11">
        <f t="shared" si="7"/>
        <v>1.5</v>
      </c>
      <c r="Z49" s="11">
        <f t="shared" si="8"/>
        <v>42.105263157894733</v>
      </c>
    </row>
    <row r="50" spans="1:26" x14ac:dyDescent="0.2">
      <c r="A50" s="3" t="s">
        <v>22</v>
      </c>
      <c r="B50" s="8" t="s">
        <v>40</v>
      </c>
      <c r="C50" s="13">
        <v>253</v>
      </c>
      <c r="D50" s="3">
        <v>136</v>
      </c>
      <c r="E50" s="3">
        <v>53</v>
      </c>
      <c r="F50" s="3">
        <v>74.5</v>
      </c>
      <c r="G50" s="1">
        <v>4.24</v>
      </c>
      <c r="H50" s="11">
        <f t="shared" si="10"/>
        <v>-70.260000000000005</v>
      </c>
      <c r="I50" s="11">
        <f t="shared" si="11"/>
        <v>-1.2546428571428572</v>
      </c>
      <c r="J50" s="11">
        <f t="shared" si="12"/>
        <v>4.5178571428571432</v>
      </c>
      <c r="K50" s="10">
        <f t="shared" si="13"/>
        <v>-7.9703956732137762</v>
      </c>
      <c r="L50" s="13">
        <v>58701</v>
      </c>
      <c r="M50" s="10">
        <v>66.900000000000006</v>
      </c>
      <c r="N50" s="11">
        <f t="shared" si="14"/>
        <v>2.4285714285714284</v>
      </c>
      <c r="O50" s="3">
        <v>348.75</v>
      </c>
      <c r="P50" s="3">
        <v>7</v>
      </c>
      <c r="Q50" s="3">
        <v>56</v>
      </c>
      <c r="R50" s="3">
        <v>16</v>
      </c>
      <c r="S50" s="3">
        <v>8</v>
      </c>
      <c r="T50" s="3">
        <v>14</v>
      </c>
      <c r="U50" s="3">
        <v>60</v>
      </c>
      <c r="V50" s="3">
        <v>51</v>
      </c>
      <c r="W50" s="3">
        <f t="shared" si="9"/>
        <v>9</v>
      </c>
      <c r="X50" s="11">
        <f t="shared" si="6"/>
        <v>1.3421052631578947</v>
      </c>
      <c r="Y50" s="11">
        <f t="shared" si="7"/>
        <v>1.5789473684210527</v>
      </c>
      <c r="Z50" s="11">
        <f t="shared" si="8"/>
        <v>42.105263157894733</v>
      </c>
    </row>
    <row r="51" spans="1:26" x14ac:dyDescent="0.2">
      <c r="A51" s="3" t="s">
        <v>21</v>
      </c>
      <c r="B51" s="8" t="s">
        <v>40</v>
      </c>
      <c r="C51" s="13">
        <v>160</v>
      </c>
      <c r="D51" s="3">
        <v>124</v>
      </c>
      <c r="E51" s="3">
        <v>77</v>
      </c>
      <c r="F51" s="3">
        <v>85.62</v>
      </c>
      <c r="G51" s="1">
        <v>0</v>
      </c>
      <c r="H51" s="11">
        <f t="shared" si="10"/>
        <v>-85.62</v>
      </c>
      <c r="I51" s="11">
        <f t="shared" si="11"/>
        <v>-1.7837500000000002</v>
      </c>
      <c r="J51" s="11">
        <f t="shared" si="12"/>
        <v>3.3333333333333335</v>
      </c>
      <c r="K51" s="10">
        <f t="shared" si="13"/>
        <v>-5.6061667834618074</v>
      </c>
      <c r="L51" s="13">
        <v>25034</v>
      </c>
      <c r="M51" s="10">
        <v>28.5</v>
      </c>
      <c r="N51" s="11">
        <f t="shared" si="14"/>
        <v>2.5833333333333335</v>
      </c>
      <c r="O51" s="3">
        <v>259.95</v>
      </c>
      <c r="P51" s="3">
        <v>12</v>
      </c>
      <c r="Q51" s="3">
        <v>48</v>
      </c>
      <c r="R51" s="3">
        <v>11</v>
      </c>
      <c r="S51" s="3">
        <v>15</v>
      </c>
      <c r="T51" s="3">
        <v>12</v>
      </c>
      <c r="U51" s="3">
        <v>50</v>
      </c>
      <c r="V51" s="3">
        <v>46</v>
      </c>
      <c r="W51" s="3">
        <f t="shared" si="9"/>
        <v>4</v>
      </c>
      <c r="X51" s="11">
        <f t="shared" si="6"/>
        <v>1.2105263157894737</v>
      </c>
      <c r="Y51" s="11">
        <f t="shared" si="7"/>
        <v>1.3157894736842106</v>
      </c>
      <c r="Z51" s="11">
        <f t="shared" si="8"/>
        <v>28.947368421052634</v>
      </c>
    </row>
    <row r="52" spans="1:26" x14ac:dyDescent="0.2">
      <c r="A52" s="3" t="s">
        <v>17</v>
      </c>
      <c r="B52" s="8" t="s">
        <v>40</v>
      </c>
      <c r="C52" s="13">
        <v>174</v>
      </c>
      <c r="D52" s="3">
        <v>115</v>
      </c>
      <c r="E52" s="3">
        <v>65</v>
      </c>
      <c r="F52" s="3">
        <v>75.58</v>
      </c>
      <c r="G52" s="1">
        <v>78.8</v>
      </c>
      <c r="H52" s="11">
        <f t="shared" si="10"/>
        <v>3.2199999999999989</v>
      </c>
      <c r="I52" s="11">
        <f t="shared" si="11"/>
        <v>6.313725490196076E-2</v>
      </c>
      <c r="J52" s="11">
        <f t="shared" si="12"/>
        <v>3.4117647058823528</v>
      </c>
      <c r="K52" s="10">
        <f t="shared" si="13"/>
        <v>158.38509316770191</v>
      </c>
      <c r="L52" s="13">
        <v>30726</v>
      </c>
      <c r="M52" s="10">
        <v>35</v>
      </c>
      <c r="N52" s="11">
        <f t="shared" si="14"/>
        <v>2.2549019607843137</v>
      </c>
      <c r="O52" s="3">
        <v>255</v>
      </c>
      <c r="P52" s="3">
        <v>9</v>
      </c>
      <c r="Q52" s="3">
        <v>51</v>
      </c>
      <c r="R52" s="3">
        <v>12</v>
      </c>
      <c r="S52" s="3">
        <v>15</v>
      </c>
      <c r="T52" s="3">
        <v>11</v>
      </c>
      <c r="U52" s="3">
        <v>42</v>
      </c>
      <c r="V52" s="3">
        <v>44</v>
      </c>
      <c r="W52" s="3">
        <f t="shared" si="9"/>
        <v>-2</v>
      </c>
      <c r="X52" s="11">
        <f t="shared" si="6"/>
        <v>1.1578947368421053</v>
      </c>
      <c r="Y52" s="11">
        <f t="shared" si="7"/>
        <v>1.1052631578947369</v>
      </c>
      <c r="Z52" s="11">
        <f t="shared" si="8"/>
        <v>31.578947368421051</v>
      </c>
    </row>
    <row r="53" spans="1:26" x14ac:dyDescent="0.2">
      <c r="A53" s="3" t="s">
        <v>43</v>
      </c>
      <c r="B53" s="8" t="s">
        <v>40</v>
      </c>
      <c r="C53" s="13">
        <v>214</v>
      </c>
      <c r="D53" s="3">
        <v>182</v>
      </c>
      <c r="E53" s="3">
        <v>84</v>
      </c>
      <c r="F53" s="3">
        <v>67.599999999999994</v>
      </c>
      <c r="G53" s="1">
        <v>4</v>
      </c>
      <c r="H53" s="11">
        <f t="shared" si="10"/>
        <v>-63.599999999999994</v>
      </c>
      <c r="I53" s="11">
        <f t="shared" si="11"/>
        <v>-1.223076923076923</v>
      </c>
      <c r="J53" s="11">
        <f t="shared" si="12"/>
        <v>4.115384615384615</v>
      </c>
      <c r="K53" s="10">
        <f t="shared" si="13"/>
        <v>-8.1761006289308185</v>
      </c>
      <c r="L53" s="13">
        <v>31647</v>
      </c>
      <c r="M53" s="10">
        <v>36.1</v>
      </c>
      <c r="N53" s="11">
        <f t="shared" si="14"/>
        <v>3.5</v>
      </c>
      <c r="O53" s="3">
        <v>273.3</v>
      </c>
      <c r="P53" s="3">
        <v>8</v>
      </c>
      <c r="Q53" s="3">
        <v>52</v>
      </c>
      <c r="R53" s="3">
        <v>14</v>
      </c>
      <c r="S53" s="3">
        <v>10</v>
      </c>
      <c r="T53" s="3">
        <v>14</v>
      </c>
      <c r="U53" s="3">
        <v>62</v>
      </c>
      <c r="V53" s="3">
        <v>59</v>
      </c>
      <c r="W53" s="3">
        <f t="shared" si="9"/>
        <v>3</v>
      </c>
      <c r="X53" s="11">
        <f t="shared" si="6"/>
        <v>1.5526315789473684</v>
      </c>
      <c r="Y53" s="11">
        <f t="shared" si="7"/>
        <v>1.631578947368421</v>
      </c>
      <c r="Z53" s="11">
        <f t="shared" si="8"/>
        <v>36.84210526315789</v>
      </c>
    </row>
    <row r="54" spans="1:26" x14ac:dyDescent="0.2">
      <c r="A54" s="3" t="s">
        <v>41</v>
      </c>
      <c r="B54" s="8" t="s">
        <v>40</v>
      </c>
      <c r="C54" s="13">
        <v>151</v>
      </c>
      <c r="D54" s="3">
        <v>113</v>
      </c>
      <c r="E54" s="3">
        <v>74</v>
      </c>
      <c r="F54" s="3">
        <v>63.4</v>
      </c>
      <c r="G54" s="1">
        <v>60.35</v>
      </c>
      <c r="H54" s="11">
        <f t="shared" si="10"/>
        <v>-3.0499999999999972</v>
      </c>
      <c r="I54" s="11">
        <f t="shared" si="11"/>
        <v>-7.6249999999999929E-2</v>
      </c>
      <c r="J54" s="11">
        <f t="shared" si="12"/>
        <v>3.7749999999999999</v>
      </c>
      <c r="K54" s="10">
        <f t="shared" si="13"/>
        <v>-131.14754098360669</v>
      </c>
      <c r="L54" s="13">
        <v>29884</v>
      </c>
      <c r="M54" s="10">
        <v>34.1</v>
      </c>
      <c r="N54" s="11">
        <f t="shared" si="14"/>
        <v>2.8250000000000002</v>
      </c>
      <c r="O54" s="3">
        <v>274.3</v>
      </c>
      <c r="P54" s="3">
        <v>15</v>
      </c>
      <c r="Q54" s="3">
        <v>40</v>
      </c>
      <c r="R54" s="3">
        <v>9</v>
      </c>
      <c r="S54" s="3">
        <v>13</v>
      </c>
      <c r="T54" s="3">
        <v>16</v>
      </c>
      <c r="U54" s="3">
        <v>43</v>
      </c>
      <c r="V54" s="3">
        <v>67</v>
      </c>
      <c r="W54" s="3">
        <f t="shared" si="9"/>
        <v>-24</v>
      </c>
      <c r="X54" s="11">
        <f t="shared" si="6"/>
        <v>1.763157894736842</v>
      </c>
      <c r="Y54" s="11">
        <f t="shared" si="7"/>
        <v>1.131578947368421</v>
      </c>
      <c r="Z54" s="11">
        <f t="shared" si="8"/>
        <v>23.684210526315788</v>
      </c>
    </row>
    <row r="55" spans="1:26" x14ac:dyDescent="0.2">
      <c r="A55" s="3" t="s">
        <v>25</v>
      </c>
      <c r="B55" s="8" t="s">
        <v>40</v>
      </c>
      <c r="C55" s="13">
        <v>165</v>
      </c>
      <c r="D55" s="3">
        <v>121</v>
      </c>
      <c r="E55" s="3">
        <v>73</v>
      </c>
      <c r="F55" s="3">
        <v>37.6</v>
      </c>
      <c r="G55" s="1">
        <v>31.8</v>
      </c>
      <c r="H55" s="11">
        <f t="shared" si="10"/>
        <v>-5.8000000000000007</v>
      </c>
      <c r="I55" s="11">
        <f t="shared" si="11"/>
        <v>-0.11372549019607844</v>
      </c>
      <c r="J55" s="11">
        <f t="shared" si="12"/>
        <v>3.2352941176470589</v>
      </c>
      <c r="K55" s="10">
        <f t="shared" si="13"/>
        <v>-87.931034482758605</v>
      </c>
      <c r="L55" s="13">
        <v>30030</v>
      </c>
      <c r="M55" s="10">
        <v>34.200000000000003</v>
      </c>
      <c r="N55" s="11">
        <f t="shared" si="14"/>
        <v>2.3725490196078431</v>
      </c>
      <c r="O55" s="3">
        <v>352</v>
      </c>
      <c r="P55" s="3">
        <v>10</v>
      </c>
      <c r="Q55" s="3">
        <v>51</v>
      </c>
      <c r="R55" s="3">
        <v>15</v>
      </c>
      <c r="S55" s="3">
        <v>6</v>
      </c>
      <c r="T55" s="3">
        <v>17</v>
      </c>
      <c r="U55" s="3">
        <v>38</v>
      </c>
      <c r="V55" s="3">
        <v>43</v>
      </c>
      <c r="W55" s="3">
        <f t="shared" si="9"/>
        <v>-5</v>
      </c>
      <c r="X55" s="11">
        <f t="shared" si="6"/>
        <v>1.131578947368421</v>
      </c>
      <c r="Y55" s="11">
        <f t="shared" si="7"/>
        <v>1</v>
      </c>
      <c r="Z55" s="11">
        <f t="shared" si="8"/>
        <v>39.473684210526315</v>
      </c>
    </row>
    <row r="56" spans="1:26" x14ac:dyDescent="0.2">
      <c r="A56" s="3" t="s">
        <v>23</v>
      </c>
      <c r="B56" s="8" t="s">
        <v>40</v>
      </c>
      <c r="C56" s="13">
        <v>181</v>
      </c>
      <c r="D56" s="3">
        <v>162</v>
      </c>
      <c r="E56" s="3">
        <v>89</v>
      </c>
      <c r="F56" s="3">
        <v>39.5</v>
      </c>
      <c r="G56" s="1">
        <v>46</v>
      </c>
      <c r="H56" s="11">
        <f t="shared" si="10"/>
        <v>6.5</v>
      </c>
      <c r="I56" s="11">
        <f t="shared" si="11"/>
        <v>0.16666666666666666</v>
      </c>
      <c r="J56" s="11">
        <f t="shared" si="12"/>
        <v>4.6410256410256414</v>
      </c>
      <c r="K56" s="10">
        <f t="shared" si="13"/>
        <v>60</v>
      </c>
      <c r="L56" s="13">
        <v>36301</v>
      </c>
      <c r="M56" s="10">
        <v>41.3</v>
      </c>
      <c r="N56" s="11">
        <f t="shared" si="14"/>
        <v>4.1538461538461542</v>
      </c>
      <c r="O56" s="3">
        <v>447.75</v>
      </c>
      <c r="P56" s="3">
        <v>16</v>
      </c>
      <c r="Q56" s="3">
        <v>39</v>
      </c>
      <c r="R56" s="3">
        <v>11</v>
      </c>
      <c r="S56" s="3">
        <v>6</v>
      </c>
      <c r="T56" s="3">
        <v>21</v>
      </c>
      <c r="U56" s="3">
        <v>21</v>
      </c>
      <c r="V56" s="3">
        <v>43</v>
      </c>
      <c r="W56" s="3">
        <f>U56-V56</f>
        <v>-22</v>
      </c>
      <c r="X56" s="11">
        <f t="shared" si="6"/>
        <v>1.131578947368421</v>
      </c>
      <c r="Y56" s="11">
        <f t="shared" si="7"/>
        <v>0.55263157894736847</v>
      </c>
      <c r="Z56" s="11">
        <f t="shared" si="8"/>
        <v>28.947368421052634</v>
      </c>
    </row>
    <row r="57" spans="1:26" x14ac:dyDescent="0.2">
      <c r="A57" s="3" t="s">
        <v>26</v>
      </c>
      <c r="B57" s="8" t="s">
        <v>40</v>
      </c>
      <c r="C57" s="13">
        <v>141</v>
      </c>
      <c r="D57" s="3">
        <v>68</v>
      </c>
      <c r="E57" s="3">
        <v>48</v>
      </c>
      <c r="F57" s="3">
        <v>38.200000000000003</v>
      </c>
      <c r="G57" s="1">
        <v>1</v>
      </c>
      <c r="H57" s="11">
        <f t="shared" si="10"/>
        <v>-37.200000000000003</v>
      </c>
      <c r="I57" s="11">
        <f t="shared" si="11"/>
        <v>-0.80869565217391315</v>
      </c>
      <c r="J57" s="11">
        <f t="shared" si="12"/>
        <v>3.0652173913043477</v>
      </c>
      <c r="K57" s="10">
        <f t="shared" si="13"/>
        <v>-12.365591397849462</v>
      </c>
      <c r="L57" s="13">
        <v>16910</v>
      </c>
      <c r="M57" s="10">
        <v>19.3</v>
      </c>
      <c r="N57" s="11">
        <f t="shared" si="14"/>
        <v>1.4782608695652173</v>
      </c>
      <c r="O57" s="3">
        <v>230.9</v>
      </c>
      <c r="P57" s="3">
        <v>13</v>
      </c>
      <c r="Q57" s="3">
        <v>46</v>
      </c>
      <c r="R57" s="3">
        <v>13</v>
      </c>
      <c r="S57" s="3">
        <v>7</v>
      </c>
      <c r="T57" s="3">
        <v>18</v>
      </c>
      <c r="U57" s="3">
        <v>48</v>
      </c>
      <c r="V57" s="3">
        <v>56</v>
      </c>
      <c r="W57" s="3">
        <f t="shared" si="9"/>
        <v>-8</v>
      </c>
      <c r="X57" s="11">
        <f t="shared" si="6"/>
        <v>1.4736842105263157</v>
      </c>
      <c r="Y57" s="11">
        <f t="shared" si="7"/>
        <v>1.263157894736842</v>
      </c>
      <c r="Z57" s="11">
        <f t="shared" si="8"/>
        <v>34.210526315789473</v>
      </c>
    </row>
    <row r="58" spans="1:26" x14ac:dyDescent="0.2">
      <c r="A58" s="3" t="s">
        <v>42</v>
      </c>
      <c r="B58" s="8" t="s">
        <v>40</v>
      </c>
      <c r="C58" s="13">
        <v>189</v>
      </c>
      <c r="D58" s="3">
        <v>121</v>
      </c>
      <c r="E58" s="3">
        <v>64</v>
      </c>
      <c r="F58" s="3">
        <v>59.3</v>
      </c>
      <c r="G58" s="1">
        <v>0</v>
      </c>
      <c r="H58" s="11">
        <f t="shared" si="10"/>
        <v>-59.3</v>
      </c>
      <c r="I58" s="11">
        <f t="shared" si="11"/>
        <v>-1.5605263157894735</v>
      </c>
      <c r="J58" s="11">
        <f t="shared" si="12"/>
        <v>4.9736842105263159</v>
      </c>
      <c r="K58" s="10">
        <f t="shared" si="13"/>
        <v>-6.4080944350758857</v>
      </c>
      <c r="L58" s="13">
        <v>36385</v>
      </c>
      <c r="M58" s="10">
        <v>41.4</v>
      </c>
      <c r="N58" s="11">
        <f t="shared" si="14"/>
        <v>3.1842105263157894</v>
      </c>
      <c r="O58" s="3">
        <v>288</v>
      </c>
      <c r="P58" s="3">
        <v>17</v>
      </c>
      <c r="Q58" s="3">
        <v>38</v>
      </c>
      <c r="R58" s="3">
        <v>9</v>
      </c>
      <c r="S58" s="3">
        <v>11</v>
      </c>
      <c r="T58" s="3">
        <v>18</v>
      </c>
      <c r="U58" s="3">
        <v>42</v>
      </c>
      <c r="V58" s="3">
        <v>79</v>
      </c>
      <c r="W58" s="3">
        <f t="shared" si="9"/>
        <v>-37</v>
      </c>
      <c r="X58" s="11">
        <f t="shared" si="6"/>
        <v>2.0789473684210527</v>
      </c>
      <c r="Y58" s="11">
        <f t="shared" si="7"/>
        <v>1.1052631578947369</v>
      </c>
      <c r="Z58" s="11">
        <f t="shared" si="8"/>
        <v>23.684210526315788</v>
      </c>
    </row>
    <row r="59" spans="1:26" x14ac:dyDescent="0.2">
      <c r="A59" s="3" t="s">
        <v>45</v>
      </c>
      <c r="B59" s="8" t="s">
        <v>40</v>
      </c>
      <c r="C59" s="13">
        <v>128</v>
      </c>
      <c r="D59" s="3">
        <v>79</v>
      </c>
      <c r="E59" s="3">
        <v>61</v>
      </c>
      <c r="F59" s="3">
        <v>43.5</v>
      </c>
      <c r="G59" s="1">
        <v>12.85</v>
      </c>
      <c r="H59" s="11">
        <f t="shared" si="10"/>
        <v>-30.65</v>
      </c>
      <c r="I59" s="11">
        <f t="shared" si="11"/>
        <v>-1.3326086956521739</v>
      </c>
      <c r="J59" s="11">
        <f t="shared" si="12"/>
        <v>5.5652173913043477</v>
      </c>
      <c r="K59" s="10">
        <f t="shared" si="13"/>
        <v>-7.504078303425775</v>
      </c>
      <c r="L59" s="13">
        <v>19841</v>
      </c>
      <c r="M59" s="10">
        <v>22.6</v>
      </c>
      <c r="N59" s="11">
        <f t="shared" si="14"/>
        <v>3.4347826086956523</v>
      </c>
      <c r="O59" s="3">
        <v>175</v>
      </c>
      <c r="P59" s="3">
        <v>19</v>
      </c>
      <c r="Q59" s="3">
        <v>23</v>
      </c>
      <c r="R59" s="3">
        <v>6</v>
      </c>
      <c r="S59" s="3">
        <v>5</v>
      </c>
      <c r="T59" s="3">
        <v>27</v>
      </c>
      <c r="U59" s="3">
        <v>34</v>
      </c>
      <c r="V59" s="3">
        <v>77</v>
      </c>
      <c r="W59" s="3">
        <f t="shared" si="9"/>
        <v>-43</v>
      </c>
      <c r="X59" s="11">
        <f t="shared" si="6"/>
        <v>2.0263157894736841</v>
      </c>
      <c r="Y59" s="11">
        <f t="shared" si="7"/>
        <v>0.89473684210526316</v>
      </c>
      <c r="Z59" s="11">
        <f t="shared" si="8"/>
        <v>15.789473684210526</v>
      </c>
    </row>
    <row r="60" spans="1:26" x14ac:dyDescent="0.2">
      <c r="A60" s="3" t="s">
        <v>28</v>
      </c>
      <c r="B60" s="8" t="s">
        <v>40</v>
      </c>
      <c r="C60" s="13">
        <v>123</v>
      </c>
      <c r="D60" s="3">
        <v>92</v>
      </c>
      <c r="E60" s="3">
        <v>74</v>
      </c>
      <c r="F60" s="3">
        <v>49.4</v>
      </c>
      <c r="G60" s="1">
        <v>40.5</v>
      </c>
      <c r="H60" s="11">
        <f t="shared" si="10"/>
        <v>-8.8999999999999986</v>
      </c>
      <c r="I60" s="11">
        <f t="shared" si="11"/>
        <v>-0.25428571428571423</v>
      </c>
      <c r="J60" s="11">
        <f t="shared" si="12"/>
        <v>3.5142857142857142</v>
      </c>
      <c r="K60" s="10">
        <f t="shared" si="13"/>
        <v>-39.325842696629216</v>
      </c>
      <c r="L60" s="13">
        <v>20011</v>
      </c>
      <c r="M60" s="10">
        <v>22.8</v>
      </c>
      <c r="N60" s="11">
        <f t="shared" si="14"/>
        <v>2.6285714285714286</v>
      </c>
      <c r="O60" s="3">
        <v>142</v>
      </c>
      <c r="P60" s="3">
        <v>18</v>
      </c>
      <c r="Q60" s="3">
        <v>35</v>
      </c>
      <c r="R60" s="3">
        <v>7</v>
      </c>
      <c r="S60" s="3">
        <v>14</v>
      </c>
      <c r="T60" s="3">
        <v>17</v>
      </c>
      <c r="U60" s="3">
        <v>34</v>
      </c>
      <c r="V60" s="3">
        <v>53</v>
      </c>
      <c r="W60" s="3">
        <f t="shared" si="9"/>
        <v>-19</v>
      </c>
      <c r="X60" s="11">
        <f t="shared" si="6"/>
        <v>1.3947368421052631</v>
      </c>
      <c r="Y60" s="11">
        <f t="shared" si="7"/>
        <v>0.89473684210526316</v>
      </c>
      <c r="Z60" s="11">
        <f t="shared" si="8"/>
        <v>18.421052631578945</v>
      </c>
    </row>
    <row r="61" spans="1:26" x14ac:dyDescent="0.2">
      <c r="A61" s="3" t="s">
        <v>44</v>
      </c>
      <c r="B61" s="8" t="s">
        <v>40</v>
      </c>
      <c r="C61" s="13">
        <v>133</v>
      </c>
      <c r="D61" s="3">
        <v>118</v>
      </c>
      <c r="F61" s="3">
        <v>63.55</v>
      </c>
      <c r="G61" s="1">
        <v>39.4</v>
      </c>
      <c r="H61" s="11">
        <f t="shared" si="10"/>
        <v>-24.15</v>
      </c>
      <c r="I61" s="11">
        <f t="shared" si="11"/>
        <v>-1.0977272727272727</v>
      </c>
      <c r="J61" s="11">
        <f t="shared" si="12"/>
        <v>6.0454545454545459</v>
      </c>
      <c r="K61" s="10">
        <f t="shared" si="13"/>
        <v>-9.1097308488612843</v>
      </c>
      <c r="L61" s="13">
        <v>26844</v>
      </c>
      <c r="M61" s="10">
        <v>30.6</v>
      </c>
      <c r="N61" s="11">
        <f t="shared" si="14"/>
        <v>5.3636363636363633</v>
      </c>
      <c r="O61" s="3">
        <v>103.35</v>
      </c>
      <c r="P61" s="3">
        <v>20</v>
      </c>
      <c r="Q61" s="3">
        <v>22</v>
      </c>
      <c r="R61" s="3">
        <v>5</v>
      </c>
      <c r="S61" s="3">
        <v>7</v>
      </c>
      <c r="T61" s="3">
        <v>26</v>
      </c>
      <c r="U61" s="3">
        <v>23</v>
      </c>
      <c r="V61" s="3">
        <v>84</v>
      </c>
      <c r="W61" s="3">
        <f t="shared" si="9"/>
        <v>-61</v>
      </c>
      <c r="X61" s="11">
        <f t="shared" si="6"/>
        <v>2.2105263157894739</v>
      </c>
      <c r="Y61" s="11">
        <f t="shared" si="7"/>
        <v>0.60526315789473684</v>
      </c>
      <c r="Z61" s="11">
        <f t="shared" si="8"/>
        <v>13.157894736842104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Arron SS Lohia</dc:creator>
  <cp:lastModifiedBy>Arron SS Lohia</cp:lastModifiedBy>
  <dcterms:created xsi:type="dcterms:W3CDTF">2025-07-07T15:27:32Z</dcterms:created>
  <dcterms:modified xsi:type="dcterms:W3CDTF">2025-09-03T14:28:20Z</dcterms:modified>
</cp:coreProperties>
</file>